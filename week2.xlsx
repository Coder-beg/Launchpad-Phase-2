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987b65d1c113e1b/Attachments/Desktop/launchpad phase 2/"/>
    </mc:Choice>
  </mc:AlternateContent>
  <xr:revisionPtr revIDLastSave="3" documentId="11_6787AC38BF7A88A05D76BAA0C4B906C7B0A27327" xr6:coauthVersionLast="47" xr6:coauthVersionMax="47" xr10:uidLastSave="{5FC8A435-2D7D-4050-8B56-F9548097670B}"/>
  <bookViews>
    <workbookView xWindow="-110" yWindow="-110" windowWidth="19420" windowHeight="10300" activeTab="1" xr2:uid="{00000000-000D-0000-FFFF-FFFF00000000}"/>
  </bookViews>
  <sheets>
    <sheet name="Sheet1" sheetId="2" r:id="rId1"/>
    <sheet name="Students" sheetId="1" r:id="rId2"/>
  </sheet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1" i="1" l="1"/>
  <c r="N101" i="1"/>
  <c r="M101" i="1"/>
  <c r="L101" i="1"/>
  <c r="O100" i="1"/>
  <c r="N100" i="1"/>
  <c r="M100" i="1"/>
  <c r="L100" i="1"/>
  <c r="O99" i="1"/>
  <c r="N99" i="1"/>
  <c r="M99" i="1"/>
  <c r="L99" i="1"/>
  <c r="O98" i="1"/>
  <c r="N98" i="1"/>
  <c r="M98" i="1"/>
  <c r="L98" i="1"/>
  <c r="O97" i="1"/>
  <c r="N97" i="1"/>
  <c r="M97" i="1"/>
  <c r="L97" i="1"/>
  <c r="O96" i="1"/>
  <c r="N96" i="1"/>
  <c r="M96" i="1"/>
  <c r="L96" i="1"/>
  <c r="O95" i="1"/>
  <c r="N95" i="1"/>
  <c r="M95" i="1"/>
  <c r="L95" i="1"/>
  <c r="O94" i="1"/>
  <c r="N94" i="1"/>
  <c r="M94" i="1"/>
  <c r="L94" i="1"/>
  <c r="O93" i="1"/>
  <c r="N93" i="1"/>
  <c r="M93" i="1"/>
  <c r="L93" i="1"/>
  <c r="O92" i="1"/>
  <c r="N92" i="1"/>
  <c r="M92" i="1"/>
  <c r="L92" i="1"/>
  <c r="O91" i="1"/>
  <c r="N91" i="1"/>
  <c r="M91" i="1"/>
  <c r="L91" i="1"/>
  <c r="O90" i="1"/>
  <c r="N90" i="1"/>
  <c r="M90" i="1"/>
  <c r="L90" i="1"/>
  <c r="O89" i="1"/>
  <c r="N89" i="1"/>
  <c r="M89" i="1"/>
  <c r="L89" i="1"/>
  <c r="O88" i="1"/>
  <c r="N88" i="1"/>
  <c r="M88" i="1"/>
  <c r="L88" i="1"/>
  <c r="O87" i="1"/>
  <c r="N87" i="1"/>
  <c r="M87" i="1"/>
  <c r="L87" i="1"/>
  <c r="O86" i="1"/>
  <c r="N86" i="1"/>
  <c r="M86" i="1"/>
  <c r="L86" i="1"/>
  <c r="O85" i="1"/>
  <c r="N85" i="1"/>
  <c r="M85" i="1"/>
  <c r="L85" i="1"/>
  <c r="O84" i="1"/>
  <c r="N84" i="1"/>
  <c r="M84" i="1"/>
  <c r="L84" i="1"/>
  <c r="O83" i="1"/>
  <c r="N83" i="1"/>
  <c r="M83" i="1"/>
  <c r="L83" i="1"/>
  <c r="O82" i="1"/>
  <c r="N82" i="1"/>
  <c r="M82" i="1"/>
  <c r="L82" i="1"/>
  <c r="O81" i="1"/>
  <c r="N81" i="1"/>
  <c r="M81" i="1"/>
  <c r="L81" i="1"/>
  <c r="O80" i="1"/>
  <c r="N80" i="1"/>
  <c r="M80" i="1"/>
  <c r="L80" i="1"/>
  <c r="O79" i="1"/>
  <c r="N79" i="1"/>
  <c r="M79" i="1"/>
  <c r="L79" i="1"/>
  <c r="O78" i="1"/>
  <c r="N78" i="1"/>
  <c r="M78" i="1"/>
  <c r="L78" i="1"/>
  <c r="O77" i="1"/>
  <c r="N77" i="1"/>
  <c r="M77" i="1"/>
  <c r="L77" i="1"/>
  <c r="O76" i="1"/>
  <c r="N76" i="1"/>
  <c r="M76" i="1"/>
  <c r="L76" i="1"/>
  <c r="O75" i="1"/>
  <c r="N75" i="1"/>
  <c r="M75" i="1"/>
  <c r="L75" i="1"/>
  <c r="O74" i="1"/>
  <c r="N74" i="1"/>
  <c r="M74" i="1"/>
  <c r="L74" i="1"/>
  <c r="O73" i="1"/>
  <c r="N73" i="1"/>
  <c r="M73" i="1"/>
  <c r="L73" i="1"/>
  <c r="O72" i="1"/>
  <c r="N72" i="1"/>
  <c r="M72" i="1"/>
  <c r="L72" i="1"/>
  <c r="O71" i="1"/>
  <c r="N71" i="1"/>
  <c r="M71" i="1"/>
  <c r="L71" i="1"/>
  <c r="O70" i="1"/>
  <c r="N70" i="1"/>
  <c r="M70" i="1"/>
  <c r="L70" i="1"/>
  <c r="O69" i="1"/>
  <c r="N69" i="1"/>
  <c r="M69" i="1"/>
  <c r="L69" i="1"/>
  <c r="O68" i="1"/>
  <c r="N68" i="1"/>
  <c r="M68" i="1"/>
  <c r="L68" i="1"/>
  <c r="O67" i="1"/>
  <c r="N67" i="1"/>
  <c r="M67" i="1"/>
  <c r="L67" i="1"/>
  <c r="O66" i="1"/>
  <c r="N66" i="1"/>
  <c r="M66" i="1"/>
  <c r="L66" i="1"/>
  <c r="O65" i="1"/>
  <c r="N65" i="1"/>
  <c r="M65" i="1"/>
  <c r="L65" i="1"/>
  <c r="O64" i="1"/>
  <c r="N64" i="1"/>
  <c r="M64" i="1"/>
  <c r="L64" i="1"/>
  <c r="O63" i="1"/>
  <c r="N63" i="1"/>
  <c r="M63" i="1"/>
  <c r="L63" i="1"/>
  <c r="O62" i="1"/>
  <c r="N62" i="1"/>
  <c r="M62" i="1"/>
  <c r="L62" i="1"/>
  <c r="O61" i="1"/>
  <c r="N61" i="1"/>
  <c r="M61" i="1"/>
  <c r="L61" i="1"/>
  <c r="O60" i="1"/>
  <c r="N60" i="1"/>
  <c r="M60" i="1"/>
  <c r="L60" i="1"/>
  <c r="O59" i="1"/>
  <c r="N59" i="1"/>
  <c r="M59" i="1"/>
  <c r="L59" i="1"/>
  <c r="O58" i="1"/>
  <c r="N58" i="1"/>
  <c r="M58" i="1"/>
  <c r="L58" i="1"/>
  <c r="O57" i="1"/>
  <c r="N57" i="1"/>
  <c r="M57" i="1"/>
  <c r="L57" i="1"/>
  <c r="O56" i="1"/>
  <c r="N56" i="1"/>
  <c r="M56" i="1"/>
  <c r="L56" i="1"/>
  <c r="O55" i="1"/>
  <c r="N55" i="1"/>
  <c r="M55" i="1"/>
  <c r="L55" i="1"/>
  <c r="O54" i="1"/>
  <c r="N54" i="1"/>
  <c r="M54" i="1"/>
  <c r="L54" i="1"/>
  <c r="O53" i="1"/>
  <c r="N53" i="1"/>
  <c r="M53" i="1"/>
  <c r="L53" i="1"/>
  <c r="O52" i="1"/>
  <c r="N52" i="1"/>
  <c r="M52" i="1"/>
  <c r="L52" i="1"/>
  <c r="O51" i="1"/>
  <c r="N51" i="1"/>
  <c r="M51" i="1"/>
  <c r="L51" i="1"/>
  <c r="O50" i="1"/>
  <c r="N50" i="1"/>
  <c r="M50" i="1"/>
  <c r="L50" i="1"/>
  <c r="O49" i="1"/>
  <c r="N49" i="1"/>
  <c r="M49" i="1"/>
  <c r="L49" i="1"/>
  <c r="O48" i="1"/>
  <c r="N48" i="1"/>
  <c r="M48" i="1"/>
  <c r="L48" i="1"/>
  <c r="O47" i="1"/>
  <c r="N47" i="1"/>
  <c r="M47" i="1"/>
  <c r="L47" i="1"/>
  <c r="O46" i="1"/>
  <c r="N46" i="1"/>
  <c r="M46" i="1"/>
  <c r="L46" i="1"/>
  <c r="O45" i="1"/>
  <c r="N45" i="1"/>
  <c r="M45" i="1"/>
  <c r="L45" i="1"/>
  <c r="O44" i="1"/>
  <c r="N44" i="1"/>
  <c r="M44" i="1"/>
  <c r="L44" i="1"/>
  <c r="O43" i="1"/>
  <c r="N43" i="1"/>
  <c r="M43" i="1"/>
  <c r="L43" i="1"/>
  <c r="O42" i="1"/>
  <c r="N42" i="1"/>
  <c r="M42" i="1"/>
  <c r="L42" i="1"/>
  <c r="O41" i="1"/>
  <c r="N41" i="1"/>
  <c r="M41" i="1"/>
  <c r="L41" i="1"/>
  <c r="O40" i="1"/>
  <c r="N40" i="1"/>
  <c r="M40" i="1"/>
  <c r="L40" i="1"/>
  <c r="O39" i="1"/>
  <c r="N39" i="1"/>
  <c r="M39" i="1"/>
  <c r="L39" i="1"/>
  <c r="O38" i="1"/>
  <c r="N38" i="1"/>
  <c r="M38" i="1"/>
  <c r="L38" i="1"/>
  <c r="O37" i="1"/>
  <c r="N37" i="1"/>
  <c r="M37" i="1"/>
  <c r="L37" i="1"/>
  <c r="O36" i="1"/>
  <c r="N36" i="1"/>
  <c r="M36" i="1"/>
  <c r="L36" i="1"/>
  <c r="O35" i="1"/>
  <c r="N35" i="1"/>
  <c r="M35" i="1"/>
  <c r="L35" i="1"/>
  <c r="O34" i="1"/>
  <c r="N34" i="1"/>
  <c r="M34" i="1"/>
  <c r="L34" i="1"/>
  <c r="O33" i="1"/>
  <c r="N33" i="1"/>
  <c r="M33" i="1"/>
  <c r="L33" i="1"/>
  <c r="O32" i="1"/>
  <c r="N32" i="1"/>
  <c r="M32" i="1"/>
  <c r="L32" i="1"/>
  <c r="O31" i="1"/>
  <c r="N31" i="1"/>
  <c r="M31" i="1"/>
  <c r="L31" i="1"/>
  <c r="O30" i="1"/>
  <c r="N30" i="1"/>
  <c r="M30" i="1"/>
  <c r="L30" i="1"/>
  <c r="O29" i="1"/>
  <c r="N29" i="1"/>
  <c r="M29" i="1"/>
  <c r="L29" i="1"/>
  <c r="O28" i="1"/>
  <c r="N28" i="1"/>
  <c r="M28" i="1"/>
  <c r="L28" i="1"/>
  <c r="O27" i="1"/>
  <c r="N27" i="1"/>
  <c r="M27" i="1"/>
  <c r="L27" i="1"/>
  <c r="O26" i="1"/>
  <c r="N26" i="1"/>
  <c r="M26" i="1"/>
  <c r="L26" i="1"/>
  <c r="O25" i="1"/>
  <c r="N25" i="1"/>
  <c r="M25" i="1"/>
  <c r="L25" i="1"/>
  <c r="O24" i="1"/>
  <c r="N24" i="1"/>
  <c r="M24" i="1"/>
  <c r="L24" i="1"/>
  <c r="O23" i="1"/>
  <c r="N23" i="1"/>
  <c r="M23" i="1"/>
  <c r="L23" i="1"/>
  <c r="O22" i="1"/>
  <c r="N22" i="1"/>
  <c r="M22" i="1"/>
  <c r="L22" i="1"/>
  <c r="O21" i="1"/>
  <c r="N21" i="1"/>
  <c r="M21" i="1"/>
  <c r="L21" i="1"/>
  <c r="O20" i="1"/>
  <c r="N20" i="1"/>
  <c r="M20" i="1"/>
  <c r="L20" i="1"/>
  <c r="O19" i="1"/>
  <c r="N19" i="1"/>
  <c r="M19" i="1"/>
  <c r="L19" i="1"/>
  <c r="O18" i="1"/>
  <c r="N18" i="1"/>
  <c r="M18" i="1"/>
  <c r="L18" i="1"/>
  <c r="O17" i="1"/>
  <c r="N17" i="1"/>
  <c r="M17" i="1"/>
  <c r="L17" i="1"/>
  <c r="O16" i="1"/>
  <c r="N16" i="1"/>
  <c r="M16" i="1"/>
  <c r="L16" i="1"/>
  <c r="O15" i="1"/>
  <c r="N15" i="1"/>
  <c r="M15" i="1"/>
  <c r="L15" i="1"/>
  <c r="O14" i="1"/>
  <c r="N14" i="1"/>
  <c r="M14" i="1"/>
  <c r="L14" i="1"/>
  <c r="O13" i="1"/>
  <c r="N13" i="1"/>
  <c r="M13" i="1"/>
  <c r="L13" i="1"/>
  <c r="O12" i="1"/>
  <c r="N12" i="1"/>
  <c r="M12" i="1"/>
  <c r="L12" i="1"/>
  <c r="O11" i="1"/>
  <c r="N11" i="1"/>
  <c r="M11" i="1"/>
  <c r="L11" i="1"/>
  <c r="O10" i="1"/>
  <c r="N10" i="1"/>
  <c r="M10" i="1"/>
  <c r="L10" i="1"/>
  <c r="O9" i="1"/>
  <c r="N9" i="1"/>
  <c r="M9" i="1"/>
  <c r="L9" i="1"/>
  <c r="O8" i="1"/>
  <c r="N8" i="1"/>
  <c r="M8" i="1"/>
  <c r="L8" i="1"/>
  <c r="O7" i="1"/>
  <c r="N7" i="1"/>
  <c r="M7" i="1"/>
  <c r="L7" i="1"/>
  <c r="O6" i="1"/>
  <c r="N6" i="1"/>
  <c r="M6" i="1"/>
  <c r="L6" i="1"/>
  <c r="O5" i="1"/>
  <c r="N5" i="1"/>
  <c r="M5" i="1"/>
  <c r="L5" i="1"/>
  <c r="O4" i="1"/>
  <c r="N4" i="1"/>
  <c r="M4" i="1"/>
  <c r="L4" i="1"/>
  <c r="O3" i="1"/>
  <c r="N3" i="1"/>
  <c r="M3" i="1"/>
  <c r="L3" i="1"/>
  <c r="O2" i="1"/>
  <c r="N2" i="1"/>
  <c r="M2" i="1"/>
  <c r="L2" i="1"/>
</calcChain>
</file>

<file path=xl/sharedStrings.xml><?xml version="1.0" encoding="utf-8"?>
<sst xmlns="http://schemas.openxmlformats.org/spreadsheetml/2006/main" count="316" uniqueCount="216">
  <si>
    <t>Student_ID</t>
  </si>
  <si>
    <t>Name</t>
  </si>
  <si>
    <t>Subject_1</t>
  </si>
  <si>
    <t>Subject_2</t>
  </si>
  <si>
    <t>Subject_3</t>
  </si>
  <si>
    <t>Subject_4</t>
  </si>
  <si>
    <t>Subject_5</t>
  </si>
  <si>
    <t>Subject_6</t>
  </si>
  <si>
    <t>Subject_7</t>
  </si>
  <si>
    <t>SGPA</t>
  </si>
  <si>
    <t>CGPA</t>
  </si>
  <si>
    <t>Percentage</t>
  </si>
  <si>
    <t>Grade</t>
  </si>
  <si>
    <t>Total</t>
  </si>
  <si>
    <t>Average</t>
  </si>
  <si>
    <t>ST001</t>
  </si>
  <si>
    <t>Ali Akram</t>
  </si>
  <si>
    <t>ST002</t>
  </si>
  <si>
    <t>Abdullah Akram</t>
  </si>
  <si>
    <t>ST003</t>
  </si>
  <si>
    <t>Hassan Qureshi</t>
  </si>
  <si>
    <t>ST004</t>
  </si>
  <si>
    <t>Daniyal Khan</t>
  </si>
  <si>
    <t>ST005</t>
  </si>
  <si>
    <t>Asad Abbasi</t>
  </si>
  <si>
    <t>ST006</t>
  </si>
  <si>
    <t>Saad Shah</t>
  </si>
  <si>
    <t>ST007</t>
  </si>
  <si>
    <t>Ahmed Ahmed</t>
  </si>
  <si>
    <t>ST008</t>
  </si>
  <si>
    <t>Asad Akram</t>
  </si>
  <si>
    <t>ST009</t>
  </si>
  <si>
    <t>Ahsan Abbasi</t>
  </si>
  <si>
    <t>ST010</t>
  </si>
  <si>
    <t>Asad Malik</t>
  </si>
  <si>
    <t>ST011</t>
  </si>
  <si>
    <t>Usman Malik</t>
  </si>
  <si>
    <t>ST012</t>
  </si>
  <si>
    <t>Usman Ahmed</t>
  </si>
  <si>
    <t>ST013</t>
  </si>
  <si>
    <t>Zain Butt</t>
  </si>
  <si>
    <t>ST014</t>
  </si>
  <si>
    <t>Daniyal Shah</t>
  </si>
  <si>
    <t>ST015</t>
  </si>
  <si>
    <t>Ibrahim Ali</t>
  </si>
  <si>
    <t>ST016</t>
  </si>
  <si>
    <t>Huzaifa Siddiqui</t>
  </si>
  <si>
    <t>ST017</t>
  </si>
  <si>
    <t>Zain Shah</t>
  </si>
  <si>
    <t>ST018</t>
  </si>
  <si>
    <t>Faizan Ahmed</t>
  </si>
  <si>
    <t>ST019</t>
  </si>
  <si>
    <t>Abdullah Khan</t>
  </si>
  <si>
    <t>ST020</t>
  </si>
  <si>
    <t>Abdullah Iqbal</t>
  </si>
  <si>
    <t>ST021</t>
  </si>
  <si>
    <t>Ahmed Nawaz</t>
  </si>
  <si>
    <t>ST022</t>
  </si>
  <si>
    <t>Huzaifa Ahmed</t>
  </si>
  <si>
    <t>ST023</t>
  </si>
  <si>
    <t>Huzaifa Akram</t>
  </si>
  <si>
    <t>ST024</t>
  </si>
  <si>
    <t>Kashif Malik</t>
  </si>
  <si>
    <t>ST025</t>
  </si>
  <si>
    <t>Umar Siddiqui</t>
  </si>
  <si>
    <t>ST026</t>
  </si>
  <si>
    <t>Huzaifa Yousaf</t>
  </si>
  <si>
    <t>ST027</t>
  </si>
  <si>
    <t>Zain Siddiqui</t>
  </si>
  <si>
    <t>ST028</t>
  </si>
  <si>
    <t>Saad Ahmed</t>
  </si>
  <si>
    <t>ST029</t>
  </si>
  <si>
    <t>Asad Ahmed</t>
  </si>
  <si>
    <t>ST030</t>
  </si>
  <si>
    <t>Zain Ahmed</t>
  </si>
  <si>
    <t>ST031</t>
  </si>
  <si>
    <t>Daniyal Iqbal</t>
  </si>
  <si>
    <t>ST032</t>
  </si>
  <si>
    <t>Ibrahim Akram</t>
  </si>
  <si>
    <t>ST033</t>
  </si>
  <si>
    <t>Shayan Ali</t>
  </si>
  <si>
    <t>ST034</t>
  </si>
  <si>
    <t>Zain Iqbal</t>
  </si>
  <si>
    <t>ST035</t>
  </si>
  <si>
    <t>Shayan Akram</t>
  </si>
  <si>
    <t>ST036</t>
  </si>
  <si>
    <t>Ali Shah</t>
  </si>
  <si>
    <t>ST037</t>
  </si>
  <si>
    <t>Shayan Abbasi</t>
  </si>
  <si>
    <t>ST038</t>
  </si>
  <si>
    <t>Daniyal Sheikh</t>
  </si>
  <si>
    <t>ST039</t>
  </si>
  <si>
    <t>Saad Ali</t>
  </si>
  <si>
    <t>ST040</t>
  </si>
  <si>
    <t>Sameer Qureshi</t>
  </si>
  <si>
    <t>ST041</t>
  </si>
  <si>
    <t>Faizan Raza</t>
  </si>
  <si>
    <t>ST042</t>
  </si>
  <si>
    <t>Ahsan Khan</t>
  </si>
  <si>
    <t>ST043</t>
  </si>
  <si>
    <t>Ahmed Shah</t>
  </si>
  <si>
    <t>ST044</t>
  </si>
  <si>
    <t>Bilal Khan</t>
  </si>
  <si>
    <t>ST045</t>
  </si>
  <si>
    <t>Talha Abbasi</t>
  </si>
  <si>
    <t>ST046</t>
  </si>
  <si>
    <t>Abdullah Qureshi</t>
  </si>
  <si>
    <t>ST047</t>
  </si>
  <si>
    <t>Faizan Nawaz</t>
  </si>
  <si>
    <t>ST048</t>
  </si>
  <si>
    <t>Ali Ahmed</t>
  </si>
  <si>
    <t>ST049</t>
  </si>
  <si>
    <t>Daniyal Ahmed</t>
  </si>
  <si>
    <t>ST050</t>
  </si>
  <si>
    <t>Daniyal Qureshi</t>
  </si>
  <si>
    <t>ST051</t>
  </si>
  <si>
    <t>Talha Iqbal</t>
  </si>
  <si>
    <t>ST052</t>
  </si>
  <si>
    <t>Umar Ahmed</t>
  </si>
  <si>
    <t>ST053</t>
  </si>
  <si>
    <t>Bilal Abbasi</t>
  </si>
  <si>
    <t>ST054</t>
  </si>
  <si>
    <t>Shayan Yousaf</t>
  </si>
  <si>
    <t>ST055</t>
  </si>
  <si>
    <t>Talha Yousaf</t>
  </si>
  <si>
    <t>ST056</t>
  </si>
  <si>
    <t>Faizan Yousaf</t>
  </si>
  <si>
    <t>ST057</t>
  </si>
  <si>
    <t>Kashif Abbasi</t>
  </si>
  <si>
    <t>ST058</t>
  </si>
  <si>
    <t>Hassan Malik</t>
  </si>
  <si>
    <t>ST059</t>
  </si>
  <si>
    <t>Hassan Abbasi</t>
  </si>
  <si>
    <t>ST060</t>
  </si>
  <si>
    <t>Shayan Ahmed</t>
  </si>
  <si>
    <t>ST061</t>
  </si>
  <si>
    <t>Ahsan Qureshi</t>
  </si>
  <si>
    <t>ST062</t>
  </si>
  <si>
    <t>Umar Butt</t>
  </si>
  <si>
    <t>ST063</t>
  </si>
  <si>
    <t>Faizan Shah</t>
  </si>
  <si>
    <t>ST064</t>
  </si>
  <si>
    <t>Shayan Qureshi</t>
  </si>
  <si>
    <t>ST065</t>
  </si>
  <si>
    <t>Bilal Iqbal</t>
  </si>
  <si>
    <t>ST066</t>
  </si>
  <si>
    <t>Saad Nawaz</t>
  </si>
  <si>
    <t>ST067</t>
  </si>
  <si>
    <t>Huzaifa Malik</t>
  </si>
  <si>
    <t>ST068</t>
  </si>
  <si>
    <t>Ibrahim Ahmed</t>
  </si>
  <si>
    <t>ST069</t>
  </si>
  <si>
    <t>Shayan Nawaz</t>
  </si>
  <si>
    <t>ST070</t>
  </si>
  <si>
    <t>Talha Ahmed</t>
  </si>
  <si>
    <t>ST071</t>
  </si>
  <si>
    <t>Asad Nawaz</t>
  </si>
  <si>
    <t>ST072</t>
  </si>
  <si>
    <t>Kashif Sheikh</t>
  </si>
  <si>
    <t>ST073</t>
  </si>
  <si>
    <t>Ali Iqbal</t>
  </si>
  <si>
    <t>ST074</t>
  </si>
  <si>
    <t>Sameer Shah</t>
  </si>
  <si>
    <t>ST075</t>
  </si>
  <si>
    <t>Saad Iqbal</t>
  </si>
  <si>
    <t>ST076</t>
  </si>
  <si>
    <t>Hamza Abbasi</t>
  </si>
  <si>
    <t>ST077</t>
  </si>
  <si>
    <t>Abdullah Raza</t>
  </si>
  <si>
    <t>ST078</t>
  </si>
  <si>
    <t>Huzaifa Nawaz</t>
  </si>
  <si>
    <t>ST079</t>
  </si>
  <si>
    <t>Umar Shah</t>
  </si>
  <si>
    <t>ST080</t>
  </si>
  <si>
    <t>Ahsan Malik</t>
  </si>
  <si>
    <t>ST081</t>
  </si>
  <si>
    <t>Ahsan Shah</t>
  </si>
  <si>
    <t>ST082</t>
  </si>
  <si>
    <t>Zain Nawaz</t>
  </si>
  <si>
    <t>ST083</t>
  </si>
  <si>
    <t>Asad Raza</t>
  </si>
  <si>
    <t>ST084</t>
  </si>
  <si>
    <t>Shayan Shah</t>
  </si>
  <si>
    <t>ST085</t>
  </si>
  <si>
    <t>Daniyal Siddiqui</t>
  </si>
  <si>
    <t>ST086</t>
  </si>
  <si>
    <t>Ali Yousaf</t>
  </si>
  <si>
    <t>ST087</t>
  </si>
  <si>
    <t>Ali Butt</t>
  </si>
  <si>
    <t>ST088</t>
  </si>
  <si>
    <t>Bilal Malik</t>
  </si>
  <si>
    <t>ST089</t>
  </si>
  <si>
    <t>Ahsan Akram</t>
  </si>
  <si>
    <t>ST090</t>
  </si>
  <si>
    <t>Kashif Akram</t>
  </si>
  <si>
    <t>ST091</t>
  </si>
  <si>
    <t>Kashif Siddiqui</t>
  </si>
  <si>
    <t>ST092</t>
  </si>
  <si>
    <t>Hassan Yousaf</t>
  </si>
  <si>
    <t>ST093</t>
  </si>
  <si>
    <t>Usman Nawaz</t>
  </si>
  <si>
    <t>ST094</t>
  </si>
  <si>
    <t>Saad Yousaf</t>
  </si>
  <si>
    <t>ST095</t>
  </si>
  <si>
    <t>Sameer Butt</t>
  </si>
  <si>
    <t>ST096</t>
  </si>
  <si>
    <t>Talha Nawaz</t>
  </si>
  <si>
    <t>ST097</t>
  </si>
  <si>
    <t>Sameer Ahmed</t>
  </si>
  <si>
    <t>ST098</t>
  </si>
  <si>
    <t>Kashif Ali</t>
  </si>
  <si>
    <t>ST099</t>
  </si>
  <si>
    <t>Bilal Ahmed</t>
  </si>
  <si>
    <t>ST100</t>
  </si>
  <si>
    <t>Usman Akram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</si>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</sst>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CS" refreshedDate="46230.426655092597" createdVersion="5" refreshedVersion="5" minRefreshableVersion="3" recordCount="99" xr:uid="{00000000-000A-0000-FFFF-FFFF00000000}">
  <cacheSource type="worksheet">
    <worksheetSource ref="A2:O101" sheet="Students"/>
  </cacheSource>
  <cacheFields count="15">
    <cacheField name="ST001" numFmtId="0">
      <sharedItems count="99">
        <s v="ST002"/>
        <s v="ST003"/>
        <s v="ST004"/>
        <s v="ST005"/>
        <s v="ST006"/>
        <s v="ST007"/>
        <s v="ST008"/>
        <s v="ST009"/>
        <s v="ST010"/>
        <s v="ST011"/>
        <s v="ST012"/>
        <s v="ST013"/>
        <s v="ST014"/>
        <s v="ST015"/>
        <s v="ST016"/>
        <s v="ST017"/>
        <s v="ST018"/>
        <s v="ST019"/>
        <s v="ST020"/>
        <s v="ST021"/>
        <s v="ST022"/>
        <s v="ST023"/>
        <s v="ST024"/>
        <s v="ST025"/>
        <s v="ST026"/>
        <s v="ST027"/>
        <s v="ST028"/>
        <s v="ST029"/>
        <s v="ST030"/>
        <s v="ST031"/>
        <s v="ST032"/>
        <s v="ST033"/>
        <s v="ST034"/>
        <s v="ST035"/>
        <s v="ST036"/>
        <s v="ST037"/>
        <s v="ST038"/>
        <s v="ST039"/>
        <s v="ST040"/>
        <s v="ST041"/>
        <s v="ST042"/>
        <s v="ST043"/>
        <s v="ST044"/>
        <s v="ST045"/>
        <s v="ST046"/>
        <s v="ST047"/>
        <s v="ST048"/>
        <s v="ST049"/>
        <s v="ST050"/>
        <s v="ST051"/>
        <s v="ST052"/>
        <s v="ST053"/>
        <s v="ST054"/>
        <s v="ST055"/>
        <s v="ST056"/>
        <s v="ST057"/>
        <s v="ST058"/>
        <s v="ST059"/>
        <s v="ST060"/>
        <s v="ST061"/>
        <s v="ST062"/>
        <s v="ST063"/>
        <s v="ST064"/>
        <s v="ST065"/>
        <s v="ST066"/>
        <s v="ST067"/>
        <s v="ST068"/>
        <s v="ST069"/>
        <s v="ST070"/>
        <s v="ST071"/>
        <s v="ST072"/>
        <s v="ST073"/>
        <s v="ST074"/>
        <s v="ST075"/>
        <s v="ST076"/>
        <s v="ST077"/>
        <s v="ST078"/>
        <s v="ST079"/>
        <s v="ST080"/>
        <s v="ST081"/>
        <s v="ST082"/>
        <s v="ST083"/>
        <s v="ST084"/>
        <s v="ST085"/>
        <s v="ST086"/>
        <s v="ST087"/>
        <s v="ST088"/>
        <s v="ST089"/>
        <s v="ST090"/>
        <s v="ST091"/>
        <s v="ST092"/>
        <s v="ST093"/>
        <s v="ST094"/>
        <s v="ST095"/>
        <s v="ST096"/>
        <s v="ST097"/>
        <s v="ST098"/>
        <s v="ST099"/>
        <s v="ST100"/>
      </sharedItems>
    </cacheField>
    <cacheField name="Ali Akram" numFmtId="0">
      <sharedItems count="99">
        <s v="Abdullah Akram"/>
        <s v="Hassan Qureshi"/>
        <s v="Daniyal Khan"/>
        <s v="Asad Abbasi"/>
        <s v="Saad Shah"/>
        <s v="Ahmed Ahmed"/>
        <s v="Asad Akram"/>
        <s v="Ahsan Abbasi"/>
        <s v="Asad Malik"/>
        <s v="Usman Malik"/>
        <s v="Usman Ahmed"/>
        <s v="Zain Butt"/>
        <s v="Daniyal Shah"/>
        <s v="Ibrahim Ali"/>
        <s v="Huzaifa Siddiqui"/>
        <s v="Zain Shah"/>
        <s v="Faizan Ahmed"/>
        <s v="Abdullah Khan"/>
        <s v="Abdullah Iqbal"/>
        <s v="Ahmed Nawaz"/>
        <s v="Huzaifa Ahmed"/>
        <s v="Huzaifa Akram"/>
        <s v="Kashif Malik"/>
        <s v="Umar Siddiqui"/>
        <s v="Huzaifa Yousaf"/>
        <s v="Zain Siddiqui"/>
        <s v="Saad Ahmed"/>
        <s v="Asad Ahmed"/>
        <s v="Zain Ahmed"/>
        <s v="Daniyal Iqbal"/>
        <s v="Ibrahim Akram"/>
        <s v="Shayan Ali"/>
        <s v="Zain Iqbal"/>
        <s v="Shayan Akram"/>
        <s v="Ali Shah"/>
        <s v="Shayan Abbasi"/>
        <s v="Daniyal Sheikh"/>
        <s v="Saad Ali"/>
        <s v="Sameer Qureshi"/>
        <s v="Faizan Raza"/>
        <s v="Ahsan Khan"/>
        <s v="Ahmed Shah"/>
        <s v="Bilal Khan"/>
        <s v="Talha Abbasi"/>
        <s v="Abdullah Qureshi"/>
        <s v="Faizan Nawaz"/>
        <s v="Ali Ahmed"/>
        <s v="Daniyal Ahmed"/>
        <s v="Daniyal Qureshi"/>
        <s v="Talha Iqbal"/>
        <s v="Umar Ahmed"/>
        <s v="Bilal Abbasi"/>
        <s v="Shayan Yousaf"/>
        <s v="Talha Yousaf"/>
        <s v="Faizan Yousaf"/>
        <s v="Kashif Abbasi"/>
        <s v="Hassan Malik"/>
        <s v="Hassan Abbasi"/>
        <s v="Shayan Ahmed"/>
        <s v="Ahsan Qureshi"/>
        <s v="Umar Butt"/>
        <s v="Faizan Shah"/>
        <s v="Shayan Qureshi"/>
        <s v="Bilal Iqbal"/>
        <s v="Saad Nawaz"/>
        <s v="Huzaifa Malik"/>
        <s v="Ibrahim Ahmed"/>
        <s v="Shayan Nawaz"/>
        <s v="Talha Ahmed"/>
        <s v="Asad Nawaz"/>
        <s v="Kashif Sheikh"/>
        <s v="Ali Iqbal"/>
        <s v="Sameer Shah"/>
        <s v="Saad Iqbal"/>
        <s v="Hamza Abbasi"/>
        <s v="Abdullah Raza"/>
        <s v="Huzaifa Nawaz"/>
        <s v="Umar Shah"/>
        <s v="Ahsan Malik"/>
        <s v="Ahsan Shah"/>
        <s v="Zain Nawaz"/>
        <s v="Asad Raza"/>
        <s v="Shayan Shah"/>
        <s v="Daniyal Siddiqui"/>
        <s v="Ali Yousaf"/>
        <s v="Ali Butt"/>
        <s v="Bilal Malik"/>
        <s v="Ahsan Akram"/>
        <s v="Kashif Akram"/>
        <s v="Kashif Siddiqui"/>
        <s v="Hassan Yousaf"/>
        <s v="Usman Nawaz"/>
        <s v="Saad Yousaf"/>
        <s v="Sameer Butt"/>
        <s v="Talha Nawaz"/>
        <s v="Sameer Ahmed"/>
        <s v="Kashif Ali"/>
        <s v="Bilal Ahmed"/>
        <s v="Usman Akram"/>
      </sharedItems>
    </cacheField>
    <cacheField name="70" numFmtId="0">
      <sharedItems containsSemiMixedTypes="0" containsString="0" containsNumber="1" containsInteger="1" minValue="51" maxValue="100" count="41">
        <n v="98"/>
        <n v="84"/>
        <n v="55"/>
        <n v="63"/>
        <n v="90"/>
        <n v="61"/>
        <n v="81"/>
        <n v="54"/>
        <n v="58"/>
        <n v="65"/>
        <n v="52"/>
        <n v="83"/>
        <n v="70"/>
        <n v="88"/>
        <n v="97"/>
        <n v="79"/>
        <n v="59"/>
        <n v="68"/>
        <n v="51"/>
        <n v="92"/>
        <n v="56"/>
        <n v="78"/>
        <n v="93"/>
        <n v="87"/>
        <n v="67"/>
        <n v="89"/>
        <n v="77"/>
        <n v="85"/>
        <n v="91"/>
        <n v="72"/>
        <n v="74"/>
        <n v="57"/>
        <n v="94"/>
        <n v="75"/>
        <n v="60"/>
        <n v="66"/>
        <n v="100"/>
        <n v="71"/>
        <n v="73"/>
        <n v="96"/>
        <n v="53"/>
      </sharedItems>
    </cacheField>
    <cacheField name="100" numFmtId="0">
      <sharedItems containsSemiMixedTypes="0" containsString="0" containsNumber="1" containsInteger="1" minValue="50" maxValue="100" count="46">
        <n v="62"/>
        <n v="58"/>
        <n v="100"/>
        <n v="68"/>
        <n v="60"/>
        <n v="80"/>
        <n v="84"/>
        <n v="96"/>
        <n v="82"/>
        <n v="57"/>
        <n v="94"/>
        <n v="65"/>
        <n v="85"/>
        <n v="70"/>
        <n v="61"/>
        <n v="81"/>
        <n v="78"/>
        <n v="66"/>
        <n v="76"/>
        <n v="95"/>
        <n v="50"/>
        <n v="99"/>
        <n v="97"/>
        <n v="83"/>
        <n v="98"/>
        <n v="59"/>
        <n v="63"/>
        <n v="88"/>
        <n v="86"/>
        <n v="87"/>
        <n v="75"/>
        <n v="79"/>
        <n v="92"/>
        <n v="52"/>
        <n v="90"/>
        <n v="93"/>
        <n v="53"/>
        <n v="73"/>
        <n v="54"/>
        <n v="55"/>
        <n v="89"/>
        <n v="71"/>
        <n v="74"/>
        <n v="69"/>
        <n v="91"/>
        <n v="67"/>
      </sharedItems>
    </cacheField>
    <cacheField name="81" numFmtId="0">
      <sharedItems containsSemiMixedTypes="0" containsString="0" containsNumber="1" containsInteger="1" minValue="50" maxValue="100" count="44">
        <n v="64"/>
        <n v="53"/>
        <n v="65"/>
        <n v="70"/>
        <n v="54"/>
        <n v="99"/>
        <n v="93"/>
        <n v="63"/>
        <n v="73"/>
        <n v="72"/>
        <n v="85"/>
        <n v="78"/>
        <n v="61"/>
        <n v="80"/>
        <n v="98"/>
        <n v="95"/>
        <n v="55"/>
        <n v="51"/>
        <n v="96"/>
        <n v="88"/>
        <n v="68"/>
        <n v="97"/>
        <n v="91"/>
        <n v="56"/>
        <n v="100"/>
        <n v="79"/>
        <n v="76"/>
        <n v="83"/>
        <n v="69"/>
        <n v="90"/>
        <n v="62"/>
        <n v="94"/>
        <n v="57"/>
        <n v="50"/>
        <n v="75"/>
        <n v="74"/>
        <n v="82"/>
        <n v="58"/>
        <n v="81"/>
        <n v="71"/>
        <n v="87"/>
        <n v="66"/>
        <n v="52"/>
        <n v="67"/>
      </sharedItems>
    </cacheField>
    <cacheField name="68" numFmtId="0">
      <sharedItems containsSemiMixedTypes="0" containsString="0" containsNumber="1" containsInteger="1" minValue="50" maxValue="99" count="47">
        <n v="59"/>
        <n v="70"/>
        <n v="64"/>
        <n v="66"/>
        <n v="95"/>
        <n v="57"/>
        <n v="67"/>
        <n v="91"/>
        <n v="65"/>
        <n v="94"/>
        <n v="74"/>
        <n v="77"/>
        <n v="75"/>
        <n v="88"/>
        <n v="61"/>
        <n v="98"/>
        <n v="84"/>
        <n v="60"/>
        <n v="82"/>
        <n v="63"/>
        <n v="81"/>
        <n v="78"/>
        <n v="71"/>
        <n v="79"/>
        <n v="69"/>
        <n v="90"/>
        <n v="58"/>
        <n v="55"/>
        <n v="53"/>
        <n v="72"/>
        <n v="56"/>
        <n v="76"/>
        <n v="97"/>
        <n v="83"/>
        <n v="80"/>
        <n v="96"/>
        <n v="52"/>
        <n v="54"/>
        <n v="89"/>
        <n v="99"/>
        <n v="68"/>
        <n v="50"/>
        <n v="73"/>
        <n v="92"/>
        <n v="85"/>
        <n v="86"/>
        <n v="93"/>
      </sharedItems>
    </cacheField>
    <cacheField name="91" numFmtId="0">
      <sharedItems containsSemiMixedTypes="0" containsString="0" containsNumber="1" containsInteger="1" minValue="50" maxValue="100" count="42">
        <n v="78"/>
        <n v="72"/>
        <n v="85"/>
        <n v="94"/>
        <n v="77"/>
        <n v="86"/>
        <n v="56"/>
        <n v="75"/>
        <n v="70"/>
        <n v="54"/>
        <n v="53"/>
        <n v="74"/>
        <n v="84"/>
        <n v="68"/>
        <n v="67"/>
        <n v="57"/>
        <n v="95"/>
        <n v="61"/>
        <n v="52"/>
        <n v="83"/>
        <n v="64"/>
        <n v="97"/>
        <n v="50"/>
        <n v="69"/>
        <n v="55"/>
        <n v="90"/>
        <n v="59"/>
        <n v="92"/>
        <n v="100"/>
        <n v="82"/>
        <n v="51"/>
        <n v="91"/>
        <n v="58"/>
        <n v="79"/>
        <n v="96"/>
        <n v="65"/>
        <n v="73"/>
        <n v="80"/>
        <n v="89"/>
        <n v="76"/>
        <n v="99"/>
        <n v="93"/>
      </sharedItems>
    </cacheField>
    <cacheField name="63" numFmtId="0">
      <sharedItems containsSemiMixedTypes="0" containsString="0" containsNumber="1" containsInteger="1" minValue="50" maxValue="100" count="43">
        <n v="54"/>
        <n v="94"/>
        <n v="84"/>
        <n v="50"/>
        <n v="87"/>
        <n v="70"/>
        <n v="77"/>
        <n v="58"/>
        <n v="64"/>
        <n v="97"/>
        <n v="85"/>
        <n v="61"/>
        <n v="93"/>
        <n v="80"/>
        <n v="69"/>
        <n v="65"/>
        <n v="57"/>
        <n v="66"/>
        <n v="83"/>
        <n v="59"/>
        <n v="100"/>
        <n v="96"/>
        <n v="88"/>
        <n v="62"/>
        <n v="92"/>
        <n v="86"/>
        <n v="56"/>
        <n v="68"/>
        <n v="67"/>
        <n v="72"/>
        <n v="75"/>
        <n v="74"/>
        <n v="90"/>
        <n v="91"/>
        <n v="98"/>
        <n v="55"/>
        <n v="95"/>
        <n v="81"/>
        <n v="82"/>
        <n v="78"/>
        <n v="99"/>
        <n v="52"/>
        <n v="89"/>
      </sharedItems>
    </cacheField>
    <cacheField name="67" numFmtId="0">
      <sharedItems containsSemiMixedTypes="0" containsString="0" containsNumber="1" containsInteger="1" minValue="50" maxValue="100" count="48">
        <n v="59"/>
        <n v="89"/>
        <n v="58"/>
        <n v="79"/>
        <n v="94"/>
        <n v="84"/>
        <n v="70"/>
        <n v="95"/>
        <n v="56"/>
        <n v="90"/>
        <n v="83"/>
        <n v="93"/>
        <n v="99"/>
        <n v="87"/>
        <n v="64"/>
        <n v="91"/>
        <n v="76"/>
        <n v="80"/>
        <n v="51"/>
        <n v="73"/>
        <n v="63"/>
        <n v="50"/>
        <n v="60"/>
        <n v="98"/>
        <n v="71"/>
        <n v="85"/>
        <n v="77"/>
        <n v="57"/>
        <n v="61"/>
        <n v="53"/>
        <n v="97"/>
        <n v="74"/>
        <n v="92"/>
        <n v="86"/>
        <n v="69"/>
        <n v="100"/>
        <n v="55"/>
        <n v="78"/>
        <n v="82"/>
        <n v="96"/>
        <n v="68"/>
        <n v="88"/>
        <n v="66"/>
        <n v="67"/>
        <n v="52"/>
        <n v="65"/>
        <n v="62"/>
        <n v="54"/>
      </sharedItems>
    </cacheField>
    <cacheField name="3.09" numFmtId="0">
      <sharedItems containsSemiMixedTypes="0" containsString="0" containsNumber="1" minValue="2.42" maxValue="3.59" count="61">
        <n v="2.71"/>
        <n v="2.97"/>
        <n v="2.68"/>
        <n v="2.86"/>
        <n v="3.33"/>
        <n v="2.99"/>
        <n v="3.01"/>
        <n v="3.36"/>
        <n v="2.7"/>
        <n v="3.17"/>
        <n v="2.81"/>
        <n v="3.38"/>
        <n v="2.93"/>
        <n v="3.11"/>
        <n v="3.08"/>
        <n v="2.82"/>
        <n v="2.84"/>
        <n v="2.52"/>
        <n v="3.37"/>
        <n v="2.98"/>
        <n v="2.85"/>
        <n v="3.35"/>
        <n v="2.42"/>
        <n v="3.1"/>
        <n v="2.94"/>
        <n v="3.19"/>
        <n v="3.59"/>
        <n v="3.58"/>
        <n v="2.75"/>
        <n v="2.77"/>
        <n v="2.83"/>
        <n v="2.66"/>
        <n v="3.07"/>
        <n v="2.95"/>
        <n v="3.22"/>
        <n v="2.89"/>
        <n v="3.12"/>
        <n v="3.53"/>
        <n v="3.21"/>
        <n v="3.16"/>
        <n v="2.8"/>
        <n v="3.5"/>
        <n v="2.91"/>
        <n v="2.88"/>
        <n v="3.02"/>
        <n v="2.57"/>
        <n v="3.3"/>
        <n v="2.78"/>
        <n v="3.15"/>
        <n v="2.74"/>
        <n v="2.76"/>
        <n v="3.26"/>
        <n v="2.79"/>
        <n v="3.09"/>
        <n v="3.06"/>
        <n v="3.4"/>
        <n v="3.24"/>
        <n v="3"/>
        <n v="3.45"/>
        <n v="2.61"/>
        <n v="2.58"/>
      </sharedItems>
    </cacheField>
    <cacheField name="3.15" numFmtId="0">
      <sharedItems containsSemiMixedTypes="0" containsString="0" containsNumber="1" minValue="2.41" maxValue="3.68" count="59">
        <n v="2.59"/>
        <n v="3.1"/>
        <n v="2.82"/>
        <n v="2.95"/>
        <n v="3.28"/>
        <n v="3.12"/>
        <n v="2.9"/>
        <n v="3.22"/>
        <n v="2.71"/>
        <n v="3.03"/>
        <n v="2.88"/>
        <n v="3"/>
        <n v="3.19"/>
        <n v="3.2"/>
        <n v="2.84"/>
        <n v="2.92"/>
        <n v="2.64"/>
        <n v="3.57"/>
        <n v="2.87"/>
        <n v="2.75"/>
        <n v="2.69"/>
        <n v="3.53"/>
        <n v="2.98"/>
        <n v="2.41"/>
        <n v="3.17"/>
        <n v="3.06"/>
        <n v="2.81"/>
        <n v="3.07"/>
        <n v="3.51"/>
        <n v="3.68"/>
        <n v="2.6"/>
        <n v="2.91"/>
        <n v="2.68"/>
        <n v="3.11"/>
        <n v="3.42"/>
        <n v="3.04"/>
        <n v="3.63"/>
        <n v="3.32"/>
        <n v="3.21"/>
        <n v="2.83"/>
        <n v="3.37"/>
        <n v="3.46"/>
        <n v="2.96"/>
        <n v="2.4500000000000002"/>
        <n v="3.25"/>
        <n v="2.86"/>
        <n v="3.02"/>
        <n v="3.4"/>
        <n v="2.57"/>
        <n v="3.3"/>
        <n v="2.76"/>
        <n v="2.7"/>
        <n v="2.56"/>
        <n v="2.85"/>
        <n v="3.09"/>
        <n v="3.33"/>
        <n v="3.56"/>
        <n v="3.27"/>
        <n v="2.42"/>
      </sharedItems>
    </cacheField>
    <cacheField name="77.14285714" numFmtId="0">
      <sharedItems containsSemiMixedTypes="0" containsString="0" containsNumber="1" minValue="60.571428571428598" maxValue="89.857142857142904" count="76">
        <n v="67.714285714285694"/>
        <n v="74.285714285714306"/>
        <n v="67"/>
        <n v="71.428571428571402"/>
        <n v="83.142857142857096"/>
        <n v="74.714285714285694"/>
        <n v="75.285714285714306"/>
        <n v="84"/>
        <n v="67.571428571428598"/>
        <n v="79.142857142857196"/>
        <n v="70.142857142857096"/>
        <n v="84.571428571428598"/>
        <n v="73.142857142857096"/>
        <n v="77.857142857142904"/>
        <n v="77"/>
        <n v="70.571428571428598"/>
        <n v="71"/>
        <n v="63"/>
        <n v="84.285714285714306"/>
        <n v="74.428571428571402"/>
        <n v="71.285714285714306"/>
        <n v="83.857142857142804"/>
        <n v="60.571428571428598"/>
        <n v="77.571428571428598"/>
        <n v="73.571428571428598"/>
        <n v="79.714285714285694"/>
        <n v="89.857142857142904"/>
        <n v="89.571428571428598"/>
        <n v="68.714285714285694"/>
        <n v="69.285714285714306"/>
        <n v="71.142857142857096"/>
        <n v="74.857142857142904"/>
        <n v="70.285714285714306"/>
        <n v="70.857142857142804"/>
        <n v="66.428571428571402"/>
        <n v="76.857142857142904"/>
        <n v="73.857142857142904"/>
        <n v="80.571428571428598"/>
        <n v="72.142857142857096"/>
        <n v="78"/>
        <n v="76.714285714285694"/>
        <n v="88.142857142857096"/>
        <n v="80.285714285714306"/>
        <n v="75.142857142857096"/>
        <n v="79"/>
        <n v="70"/>
        <n v="74.142857142857096"/>
        <n v="83.285714285714306"/>
        <n v="87.428571428571402"/>
        <n v="72.857142857142804"/>
        <n v="72"/>
        <n v="75.428571428571402"/>
        <n v="64.285714285714306"/>
        <n v="73.714285714285694"/>
        <n v="82.428571428571402"/>
        <n v="69.428571428571402"/>
        <n v="78.714285714285694"/>
        <n v="68.428571428571402"/>
        <n v="69"/>
        <n v="81.428571428571402"/>
        <n v="69.857142857142904"/>
        <n v="77.714285714285694"/>
        <n v="71.571428571428598"/>
        <n v="77.142857142857196"/>
        <n v="76.571428571428598"/>
        <n v="85"/>
        <n v="69.571428571428598"/>
        <n v="68.571428571428598"/>
        <n v="81.571428571428598"/>
        <n v="81"/>
        <n v="75"/>
        <n v="67.428571428571402"/>
        <n v="86.142857142857096"/>
        <n v="83.714285714285694"/>
        <n v="65.142857142857196"/>
        <n v="64.428571428571402"/>
      </sharedItems>
    </cacheField>
    <cacheField name="B" numFmtId="0">
      <sharedItems count="4">
        <s v="A"/>
        <s v="D"/>
        <s v="C"/>
        <s v="B"/>
      </sharedItems>
    </cacheField>
    <cacheField name="540" numFmtId="0">
      <sharedItems containsSemiMixedTypes="0" containsString="0" containsNumber="1" containsInteger="1" minValue="424" maxValue="629" count="76">
        <n v="474"/>
        <n v="520"/>
        <n v="469"/>
        <n v="500"/>
        <n v="582"/>
        <n v="523"/>
        <n v="527"/>
        <n v="588"/>
        <n v="473"/>
        <n v="554"/>
        <n v="491"/>
        <n v="592"/>
        <n v="512"/>
        <n v="545"/>
        <n v="539"/>
        <n v="494"/>
        <n v="497"/>
        <n v="441"/>
        <n v="590"/>
        <n v="521"/>
        <n v="499"/>
        <n v="587"/>
        <n v="424"/>
        <n v="543"/>
        <n v="515"/>
        <n v="558"/>
        <n v="629"/>
        <n v="627"/>
        <n v="481"/>
        <n v="485"/>
        <n v="498"/>
        <n v="524"/>
        <n v="492"/>
        <n v="496"/>
        <n v="465"/>
        <n v="538"/>
        <n v="517"/>
        <n v="564"/>
        <n v="505"/>
        <n v="546"/>
        <n v="537"/>
        <n v="617"/>
        <n v="562"/>
        <n v="526"/>
        <n v="553"/>
        <n v="490"/>
        <n v="519"/>
        <n v="583"/>
        <n v="612"/>
        <n v="510"/>
        <n v="504"/>
        <n v="528"/>
        <n v="450"/>
        <n v="516"/>
        <n v="577"/>
        <n v="486"/>
        <n v="551"/>
        <n v="479"/>
        <n v="483"/>
        <n v="570"/>
        <n v="489"/>
        <n v="544"/>
        <n v="501"/>
        <n v="540"/>
        <n v="536"/>
        <n v="595"/>
        <n v="487"/>
        <n v="480"/>
        <n v="571"/>
        <n v="567"/>
        <n v="525"/>
        <n v="472"/>
        <n v="603"/>
        <n v="586"/>
        <n v="456"/>
        <n v="451"/>
      </sharedItems>
    </cacheField>
    <cacheField name="77.142857142" numFmtId="0">
      <sharedItems containsSemiMixedTypes="0" containsString="0" containsNumber="1" minValue="60.571428571428598" maxValue="89.857142857142904" count="76">
        <n v="67.714285714285694"/>
        <n v="74.285714285714306"/>
        <n v="67"/>
        <n v="71.428571428571402"/>
        <n v="83.142857142857096"/>
        <n v="74.714285714285694"/>
        <n v="75.285714285714306"/>
        <n v="84"/>
        <n v="67.571428571428598"/>
        <n v="79.142857142857096"/>
        <n v="70.142857142857096"/>
        <n v="84.571428571428598"/>
        <n v="73.142857142857096"/>
        <n v="77.857142857142904"/>
        <n v="77"/>
        <n v="70.571428571428598"/>
        <n v="71"/>
        <n v="63"/>
        <n v="84.285714285714306"/>
        <n v="74.428571428571402"/>
        <n v="71.285714285714306"/>
        <n v="83.857142857142904"/>
        <n v="60.571428571428598"/>
        <n v="77.571428571428598"/>
        <n v="73.571428571428598"/>
        <n v="79.714285714285694"/>
        <n v="89.857142857142904"/>
        <n v="89.571428571428598"/>
        <n v="68.714285714285694"/>
        <n v="69.285714285714306"/>
        <n v="71.142857142857096"/>
        <n v="74.857142857142904"/>
        <n v="70.285714285714306"/>
        <n v="70.857142857142904"/>
        <n v="66.428571428571402"/>
        <n v="76.857142857142904"/>
        <n v="73.857142857142904"/>
        <n v="80.571428571428598"/>
        <n v="72.142857142857096"/>
        <n v="78"/>
        <n v="76.714285714285694"/>
        <n v="88.142857142857096"/>
        <n v="80.285714285714306"/>
        <n v="75.142857142857096"/>
        <n v="79"/>
        <n v="70"/>
        <n v="74.142857142857096"/>
        <n v="83.285714285714306"/>
        <n v="87.428571428571402"/>
        <n v="72.857142857142904"/>
        <n v="72"/>
        <n v="75.428571428571402"/>
        <n v="64.285714285714306"/>
        <n v="73.714285714285694"/>
        <n v="82.428571428571402"/>
        <n v="69.428571428571402"/>
        <n v="78.714285714285694"/>
        <n v="68.428571428571402"/>
        <n v="69"/>
        <n v="81.428571428571402"/>
        <n v="69.857142857142904"/>
        <n v="77.714285714285694"/>
        <n v="71.571428571428598"/>
        <n v="77.142857142857096"/>
        <n v="76.571428571428598"/>
        <n v="85"/>
        <n v="69.571428571428598"/>
        <n v="68.571428571428598"/>
        <n v="81.571428571428598"/>
        <n v="81"/>
        <n v="75"/>
        <n v="67.428571428571402"/>
        <n v="86.142857142857096"/>
        <n v="83.714285714285694"/>
        <n v="65.142857142857096"/>
        <n v="64.4285714285714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0"/>
    <x v="1"/>
    <x v="1"/>
  </r>
  <r>
    <x v="2"/>
    <x v="2"/>
    <x v="2"/>
    <x v="1"/>
    <x v="2"/>
    <x v="2"/>
    <x v="2"/>
    <x v="2"/>
    <x v="2"/>
    <x v="2"/>
    <x v="2"/>
    <x v="2"/>
    <x v="1"/>
    <x v="2"/>
    <x v="2"/>
  </r>
  <r>
    <x v="3"/>
    <x v="3"/>
    <x v="3"/>
    <x v="2"/>
    <x v="3"/>
    <x v="3"/>
    <x v="1"/>
    <x v="3"/>
    <x v="3"/>
    <x v="3"/>
    <x v="3"/>
    <x v="3"/>
    <x v="2"/>
    <x v="3"/>
    <x v="3"/>
  </r>
  <r>
    <x v="4"/>
    <x v="4"/>
    <x v="4"/>
    <x v="3"/>
    <x v="4"/>
    <x v="4"/>
    <x v="3"/>
    <x v="4"/>
    <x v="4"/>
    <x v="4"/>
    <x v="4"/>
    <x v="4"/>
    <x v="0"/>
    <x v="4"/>
    <x v="4"/>
  </r>
  <r>
    <x v="5"/>
    <x v="5"/>
    <x v="5"/>
    <x v="4"/>
    <x v="5"/>
    <x v="5"/>
    <x v="0"/>
    <x v="2"/>
    <x v="5"/>
    <x v="5"/>
    <x v="5"/>
    <x v="5"/>
    <x v="2"/>
    <x v="5"/>
    <x v="5"/>
  </r>
  <r>
    <x v="6"/>
    <x v="6"/>
    <x v="6"/>
    <x v="5"/>
    <x v="2"/>
    <x v="6"/>
    <x v="3"/>
    <x v="5"/>
    <x v="6"/>
    <x v="6"/>
    <x v="6"/>
    <x v="6"/>
    <x v="0"/>
    <x v="6"/>
    <x v="6"/>
  </r>
  <r>
    <x v="7"/>
    <x v="7"/>
    <x v="7"/>
    <x v="6"/>
    <x v="6"/>
    <x v="7"/>
    <x v="3"/>
    <x v="6"/>
    <x v="7"/>
    <x v="7"/>
    <x v="7"/>
    <x v="7"/>
    <x v="1"/>
    <x v="7"/>
    <x v="7"/>
  </r>
  <r>
    <x v="8"/>
    <x v="8"/>
    <x v="8"/>
    <x v="7"/>
    <x v="7"/>
    <x v="8"/>
    <x v="4"/>
    <x v="7"/>
    <x v="8"/>
    <x v="8"/>
    <x v="8"/>
    <x v="8"/>
    <x v="1"/>
    <x v="8"/>
    <x v="8"/>
  </r>
  <r>
    <x v="9"/>
    <x v="9"/>
    <x v="9"/>
    <x v="8"/>
    <x v="8"/>
    <x v="9"/>
    <x v="5"/>
    <x v="8"/>
    <x v="9"/>
    <x v="9"/>
    <x v="9"/>
    <x v="9"/>
    <x v="2"/>
    <x v="9"/>
    <x v="9"/>
  </r>
  <r>
    <x v="10"/>
    <x v="10"/>
    <x v="10"/>
    <x v="9"/>
    <x v="9"/>
    <x v="10"/>
    <x v="6"/>
    <x v="9"/>
    <x v="10"/>
    <x v="10"/>
    <x v="10"/>
    <x v="10"/>
    <x v="1"/>
    <x v="10"/>
    <x v="10"/>
  </r>
  <r>
    <x v="11"/>
    <x v="11"/>
    <x v="11"/>
    <x v="10"/>
    <x v="10"/>
    <x v="11"/>
    <x v="7"/>
    <x v="10"/>
    <x v="11"/>
    <x v="11"/>
    <x v="7"/>
    <x v="11"/>
    <x v="0"/>
    <x v="11"/>
    <x v="11"/>
  </r>
  <r>
    <x v="12"/>
    <x v="12"/>
    <x v="12"/>
    <x v="11"/>
    <x v="11"/>
    <x v="12"/>
    <x v="8"/>
    <x v="11"/>
    <x v="11"/>
    <x v="12"/>
    <x v="11"/>
    <x v="12"/>
    <x v="3"/>
    <x v="12"/>
    <x v="12"/>
  </r>
  <r>
    <x v="13"/>
    <x v="13"/>
    <x v="13"/>
    <x v="12"/>
    <x v="12"/>
    <x v="8"/>
    <x v="9"/>
    <x v="12"/>
    <x v="12"/>
    <x v="13"/>
    <x v="12"/>
    <x v="13"/>
    <x v="0"/>
    <x v="13"/>
    <x v="13"/>
  </r>
  <r>
    <x v="14"/>
    <x v="14"/>
    <x v="14"/>
    <x v="13"/>
    <x v="0"/>
    <x v="13"/>
    <x v="10"/>
    <x v="13"/>
    <x v="13"/>
    <x v="14"/>
    <x v="13"/>
    <x v="14"/>
    <x v="0"/>
    <x v="14"/>
    <x v="14"/>
  </r>
  <r>
    <x v="15"/>
    <x v="15"/>
    <x v="15"/>
    <x v="14"/>
    <x v="1"/>
    <x v="9"/>
    <x v="11"/>
    <x v="14"/>
    <x v="14"/>
    <x v="15"/>
    <x v="14"/>
    <x v="15"/>
    <x v="3"/>
    <x v="15"/>
    <x v="15"/>
  </r>
  <r>
    <x v="16"/>
    <x v="16"/>
    <x v="10"/>
    <x v="15"/>
    <x v="7"/>
    <x v="14"/>
    <x v="12"/>
    <x v="15"/>
    <x v="15"/>
    <x v="16"/>
    <x v="15"/>
    <x v="16"/>
    <x v="1"/>
    <x v="16"/>
    <x v="16"/>
  </r>
  <r>
    <x v="17"/>
    <x v="17"/>
    <x v="16"/>
    <x v="4"/>
    <x v="13"/>
    <x v="8"/>
    <x v="6"/>
    <x v="16"/>
    <x v="14"/>
    <x v="17"/>
    <x v="16"/>
    <x v="17"/>
    <x v="1"/>
    <x v="17"/>
    <x v="17"/>
  </r>
  <r>
    <x v="18"/>
    <x v="18"/>
    <x v="17"/>
    <x v="16"/>
    <x v="14"/>
    <x v="15"/>
    <x v="13"/>
    <x v="10"/>
    <x v="7"/>
    <x v="18"/>
    <x v="17"/>
    <x v="18"/>
    <x v="2"/>
    <x v="18"/>
    <x v="18"/>
  </r>
  <r>
    <x v="19"/>
    <x v="19"/>
    <x v="18"/>
    <x v="8"/>
    <x v="15"/>
    <x v="16"/>
    <x v="14"/>
    <x v="17"/>
    <x v="16"/>
    <x v="19"/>
    <x v="18"/>
    <x v="19"/>
    <x v="1"/>
    <x v="19"/>
    <x v="19"/>
  </r>
  <r>
    <x v="20"/>
    <x v="20"/>
    <x v="19"/>
    <x v="17"/>
    <x v="16"/>
    <x v="16"/>
    <x v="15"/>
    <x v="4"/>
    <x v="8"/>
    <x v="16"/>
    <x v="19"/>
    <x v="16"/>
    <x v="0"/>
    <x v="16"/>
    <x v="16"/>
  </r>
  <r>
    <x v="21"/>
    <x v="21"/>
    <x v="7"/>
    <x v="18"/>
    <x v="17"/>
    <x v="17"/>
    <x v="16"/>
    <x v="18"/>
    <x v="17"/>
    <x v="20"/>
    <x v="10"/>
    <x v="20"/>
    <x v="1"/>
    <x v="20"/>
    <x v="20"/>
  </r>
  <r>
    <x v="22"/>
    <x v="22"/>
    <x v="17"/>
    <x v="10"/>
    <x v="18"/>
    <x v="8"/>
    <x v="17"/>
    <x v="19"/>
    <x v="18"/>
    <x v="15"/>
    <x v="20"/>
    <x v="15"/>
    <x v="2"/>
    <x v="15"/>
    <x v="15"/>
  </r>
  <r>
    <x v="23"/>
    <x v="23"/>
    <x v="14"/>
    <x v="19"/>
    <x v="19"/>
    <x v="18"/>
    <x v="18"/>
    <x v="20"/>
    <x v="19"/>
    <x v="21"/>
    <x v="21"/>
    <x v="21"/>
    <x v="0"/>
    <x v="21"/>
    <x v="21"/>
  </r>
  <r>
    <x v="24"/>
    <x v="24"/>
    <x v="8"/>
    <x v="19"/>
    <x v="19"/>
    <x v="10"/>
    <x v="19"/>
    <x v="17"/>
    <x v="0"/>
    <x v="5"/>
    <x v="22"/>
    <x v="5"/>
    <x v="1"/>
    <x v="5"/>
    <x v="5"/>
  </r>
  <r>
    <x v="25"/>
    <x v="25"/>
    <x v="20"/>
    <x v="16"/>
    <x v="16"/>
    <x v="19"/>
    <x v="20"/>
    <x v="16"/>
    <x v="18"/>
    <x v="22"/>
    <x v="23"/>
    <x v="22"/>
    <x v="1"/>
    <x v="22"/>
    <x v="22"/>
  </r>
  <r>
    <x v="26"/>
    <x v="26"/>
    <x v="10"/>
    <x v="20"/>
    <x v="20"/>
    <x v="20"/>
    <x v="7"/>
    <x v="21"/>
    <x v="12"/>
    <x v="19"/>
    <x v="24"/>
    <x v="19"/>
    <x v="1"/>
    <x v="19"/>
    <x v="19"/>
  </r>
  <r>
    <x v="27"/>
    <x v="27"/>
    <x v="8"/>
    <x v="0"/>
    <x v="21"/>
    <x v="21"/>
    <x v="21"/>
    <x v="22"/>
    <x v="20"/>
    <x v="23"/>
    <x v="25"/>
    <x v="23"/>
    <x v="1"/>
    <x v="23"/>
    <x v="23"/>
  </r>
  <r>
    <x v="28"/>
    <x v="28"/>
    <x v="21"/>
    <x v="21"/>
    <x v="12"/>
    <x v="5"/>
    <x v="1"/>
    <x v="13"/>
    <x v="21"/>
    <x v="16"/>
    <x v="26"/>
    <x v="16"/>
    <x v="3"/>
    <x v="16"/>
    <x v="16"/>
  </r>
  <r>
    <x v="29"/>
    <x v="29"/>
    <x v="1"/>
    <x v="22"/>
    <x v="22"/>
    <x v="22"/>
    <x v="22"/>
    <x v="23"/>
    <x v="22"/>
    <x v="24"/>
    <x v="9"/>
    <x v="24"/>
    <x v="0"/>
    <x v="24"/>
    <x v="24"/>
  </r>
  <r>
    <x v="30"/>
    <x v="30"/>
    <x v="1"/>
    <x v="23"/>
    <x v="23"/>
    <x v="12"/>
    <x v="18"/>
    <x v="1"/>
    <x v="10"/>
    <x v="6"/>
    <x v="27"/>
    <x v="6"/>
    <x v="0"/>
    <x v="6"/>
    <x v="6"/>
  </r>
  <r>
    <x v="31"/>
    <x v="31"/>
    <x v="22"/>
    <x v="24"/>
    <x v="17"/>
    <x v="23"/>
    <x v="19"/>
    <x v="15"/>
    <x v="1"/>
    <x v="25"/>
    <x v="25"/>
    <x v="25"/>
    <x v="0"/>
    <x v="25"/>
    <x v="25"/>
  </r>
  <r>
    <x v="32"/>
    <x v="32"/>
    <x v="22"/>
    <x v="21"/>
    <x v="24"/>
    <x v="24"/>
    <x v="4"/>
    <x v="24"/>
    <x v="12"/>
    <x v="26"/>
    <x v="28"/>
    <x v="26"/>
    <x v="0"/>
    <x v="26"/>
    <x v="26"/>
  </r>
  <r>
    <x v="33"/>
    <x v="33"/>
    <x v="0"/>
    <x v="22"/>
    <x v="25"/>
    <x v="25"/>
    <x v="23"/>
    <x v="21"/>
    <x v="23"/>
    <x v="27"/>
    <x v="29"/>
    <x v="27"/>
    <x v="0"/>
    <x v="27"/>
    <x v="27"/>
  </r>
  <r>
    <x v="34"/>
    <x v="34"/>
    <x v="23"/>
    <x v="6"/>
    <x v="26"/>
    <x v="26"/>
    <x v="24"/>
    <x v="3"/>
    <x v="24"/>
    <x v="28"/>
    <x v="30"/>
    <x v="28"/>
    <x v="0"/>
    <x v="28"/>
    <x v="28"/>
  </r>
  <r>
    <x v="35"/>
    <x v="35"/>
    <x v="2"/>
    <x v="15"/>
    <x v="27"/>
    <x v="27"/>
    <x v="14"/>
    <x v="25"/>
    <x v="2"/>
    <x v="29"/>
    <x v="31"/>
    <x v="29"/>
    <x v="1"/>
    <x v="29"/>
    <x v="29"/>
  </r>
  <r>
    <x v="36"/>
    <x v="36"/>
    <x v="24"/>
    <x v="25"/>
    <x v="20"/>
    <x v="28"/>
    <x v="23"/>
    <x v="9"/>
    <x v="25"/>
    <x v="20"/>
    <x v="32"/>
    <x v="30"/>
    <x v="2"/>
    <x v="30"/>
    <x v="30"/>
  </r>
  <r>
    <x v="37"/>
    <x v="37"/>
    <x v="25"/>
    <x v="19"/>
    <x v="25"/>
    <x v="5"/>
    <x v="22"/>
    <x v="26"/>
    <x v="23"/>
    <x v="5"/>
    <x v="33"/>
    <x v="31"/>
    <x v="0"/>
    <x v="31"/>
    <x v="31"/>
  </r>
  <r>
    <x v="38"/>
    <x v="38"/>
    <x v="9"/>
    <x v="8"/>
    <x v="9"/>
    <x v="28"/>
    <x v="7"/>
    <x v="27"/>
    <x v="26"/>
    <x v="10"/>
    <x v="18"/>
    <x v="32"/>
    <x v="2"/>
    <x v="32"/>
    <x v="32"/>
  </r>
  <r>
    <x v="39"/>
    <x v="39"/>
    <x v="10"/>
    <x v="26"/>
    <x v="26"/>
    <x v="14"/>
    <x v="25"/>
    <x v="28"/>
    <x v="13"/>
    <x v="30"/>
    <x v="3"/>
    <x v="33"/>
    <x v="1"/>
    <x v="33"/>
    <x v="33"/>
  </r>
  <r>
    <x v="40"/>
    <x v="40"/>
    <x v="15"/>
    <x v="0"/>
    <x v="28"/>
    <x v="29"/>
    <x v="26"/>
    <x v="11"/>
    <x v="20"/>
    <x v="31"/>
    <x v="32"/>
    <x v="34"/>
    <x v="3"/>
    <x v="34"/>
    <x v="34"/>
  </r>
  <r>
    <x v="41"/>
    <x v="41"/>
    <x v="14"/>
    <x v="27"/>
    <x v="23"/>
    <x v="30"/>
    <x v="27"/>
    <x v="25"/>
    <x v="20"/>
    <x v="32"/>
    <x v="9"/>
    <x v="35"/>
    <x v="0"/>
    <x v="35"/>
    <x v="35"/>
  </r>
  <r>
    <x v="42"/>
    <x v="42"/>
    <x v="8"/>
    <x v="28"/>
    <x v="29"/>
    <x v="31"/>
    <x v="5"/>
    <x v="8"/>
    <x v="27"/>
    <x v="33"/>
    <x v="10"/>
    <x v="36"/>
    <x v="1"/>
    <x v="36"/>
    <x v="36"/>
  </r>
  <r>
    <x v="43"/>
    <x v="43"/>
    <x v="26"/>
    <x v="8"/>
    <x v="30"/>
    <x v="32"/>
    <x v="28"/>
    <x v="10"/>
    <x v="28"/>
    <x v="34"/>
    <x v="34"/>
    <x v="37"/>
    <x v="3"/>
    <x v="37"/>
    <x v="37"/>
  </r>
  <r>
    <x v="44"/>
    <x v="44"/>
    <x v="27"/>
    <x v="20"/>
    <x v="0"/>
    <x v="18"/>
    <x v="3"/>
    <x v="6"/>
    <x v="29"/>
    <x v="35"/>
    <x v="10"/>
    <x v="38"/>
    <x v="0"/>
    <x v="38"/>
    <x v="38"/>
  </r>
  <r>
    <x v="45"/>
    <x v="45"/>
    <x v="28"/>
    <x v="18"/>
    <x v="23"/>
    <x v="2"/>
    <x v="21"/>
    <x v="15"/>
    <x v="30"/>
    <x v="36"/>
    <x v="35"/>
    <x v="39"/>
    <x v="0"/>
    <x v="39"/>
    <x v="39"/>
  </r>
  <r>
    <x v="46"/>
    <x v="46"/>
    <x v="24"/>
    <x v="29"/>
    <x v="31"/>
    <x v="24"/>
    <x v="11"/>
    <x v="29"/>
    <x v="31"/>
    <x v="32"/>
    <x v="3"/>
    <x v="40"/>
    <x v="2"/>
    <x v="40"/>
    <x v="40"/>
  </r>
  <r>
    <x v="47"/>
    <x v="47"/>
    <x v="19"/>
    <x v="30"/>
    <x v="31"/>
    <x v="4"/>
    <x v="21"/>
    <x v="4"/>
    <x v="26"/>
    <x v="37"/>
    <x v="36"/>
    <x v="41"/>
    <x v="0"/>
    <x v="41"/>
    <x v="41"/>
  </r>
  <r>
    <x v="48"/>
    <x v="48"/>
    <x v="15"/>
    <x v="31"/>
    <x v="17"/>
    <x v="16"/>
    <x v="28"/>
    <x v="30"/>
    <x v="4"/>
    <x v="38"/>
    <x v="37"/>
    <x v="42"/>
    <x v="3"/>
    <x v="42"/>
    <x v="42"/>
  </r>
  <r>
    <x v="49"/>
    <x v="49"/>
    <x v="29"/>
    <x v="17"/>
    <x v="32"/>
    <x v="33"/>
    <x v="29"/>
    <x v="31"/>
    <x v="32"/>
    <x v="6"/>
    <x v="22"/>
    <x v="43"/>
    <x v="3"/>
    <x v="43"/>
    <x v="43"/>
  </r>
  <r>
    <x v="50"/>
    <x v="50"/>
    <x v="3"/>
    <x v="1"/>
    <x v="14"/>
    <x v="34"/>
    <x v="0"/>
    <x v="32"/>
    <x v="33"/>
    <x v="39"/>
    <x v="38"/>
    <x v="44"/>
    <x v="2"/>
    <x v="44"/>
    <x v="44"/>
  </r>
  <r>
    <x v="51"/>
    <x v="51"/>
    <x v="21"/>
    <x v="13"/>
    <x v="26"/>
    <x v="35"/>
    <x v="30"/>
    <x v="3"/>
    <x v="34"/>
    <x v="40"/>
    <x v="39"/>
    <x v="45"/>
    <x v="3"/>
    <x v="45"/>
    <x v="45"/>
  </r>
  <r>
    <x v="52"/>
    <x v="52"/>
    <x v="30"/>
    <x v="29"/>
    <x v="32"/>
    <x v="22"/>
    <x v="12"/>
    <x v="14"/>
    <x v="26"/>
    <x v="1"/>
    <x v="6"/>
    <x v="46"/>
    <x v="3"/>
    <x v="46"/>
    <x v="46"/>
  </r>
  <r>
    <x v="53"/>
    <x v="53"/>
    <x v="30"/>
    <x v="26"/>
    <x v="7"/>
    <x v="32"/>
    <x v="31"/>
    <x v="9"/>
    <x v="23"/>
    <x v="4"/>
    <x v="40"/>
    <x v="47"/>
    <x v="3"/>
    <x v="47"/>
    <x v="47"/>
  </r>
  <r>
    <x v="54"/>
    <x v="54"/>
    <x v="11"/>
    <x v="8"/>
    <x v="33"/>
    <x v="36"/>
    <x v="32"/>
    <x v="21"/>
    <x v="3"/>
    <x v="3"/>
    <x v="8"/>
    <x v="3"/>
    <x v="0"/>
    <x v="3"/>
    <x v="3"/>
  </r>
  <r>
    <x v="55"/>
    <x v="55"/>
    <x v="31"/>
    <x v="11"/>
    <x v="0"/>
    <x v="27"/>
    <x v="14"/>
    <x v="12"/>
    <x v="11"/>
    <x v="15"/>
    <x v="11"/>
    <x v="15"/>
    <x v="1"/>
    <x v="15"/>
    <x v="15"/>
  </r>
  <r>
    <x v="56"/>
    <x v="56"/>
    <x v="29"/>
    <x v="10"/>
    <x v="5"/>
    <x v="11"/>
    <x v="33"/>
    <x v="33"/>
    <x v="35"/>
    <x v="41"/>
    <x v="41"/>
    <x v="48"/>
    <x v="3"/>
    <x v="48"/>
    <x v="48"/>
  </r>
  <r>
    <x v="57"/>
    <x v="57"/>
    <x v="10"/>
    <x v="26"/>
    <x v="12"/>
    <x v="35"/>
    <x v="34"/>
    <x v="4"/>
    <x v="36"/>
    <x v="42"/>
    <x v="42"/>
    <x v="49"/>
    <x v="1"/>
    <x v="49"/>
    <x v="49"/>
  </r>
  <r>
    <x v="58"/>
    <x v="58"/>
    <x v="26"/>
    <x v="11"/>
    <x v="30"/>
    <x v="37"/>
    <x v="35"/>
    <x v="4"/>
    <x v="4"/>
    <x v="43"/>
    <x v="26"/>
    <x v="50"/>
    <x v="3"/>
    <x v="50"/>
    <x v="50"/>
  </r>
  <r>
    <x v="59"/>
    <x v="59"/>
    <x v="6"/>
    <x v="20"/>
    <x v="11"/>
    <x v="24"/>
    <x v="36"/>
    <x v="34"/>
    <x v="4"/>
    <x v="23"/>
    <x v="42"/>
    <x v="23"/>
    <x v="0"/>
    <x v="23"/>
    <x v="23"/>
  </r>
  <r>
    <x v="60"/>
    <x v="60"/>
    <x v="29"/>
    <x v="15"/>
    <x v="32"/>
    <x v="38"/>
    <x v="37"/>
    <x v="25"/>
    <x v="20"/>
    <x v="44"/>
    <x v="2"/>
    <x v="51"/>
    <x v="3"/>
    <x v="51"/>
    <x v="51"/>
  </r>
  <r>
    <x v="61"/>
    <x v="61"/>
    <x v="32"/>
    <x v="20"/>
    <x v="34"/>
    <x v="30"/>
    <x v="24"/>
    <x v="28"/>
    <x v="29"/>
    <x v="45"/>
    <x v="43"/>
    <x v="52"/>
    <x v="0"/>
    <x v="52"/>
    <x v="52"/>
  </r>
  <r>
    <x v="62"/>
    <x v="62"/>
    <x v="27"/>
    <x v="6"/>
    <x v="3"/>
    <x v="11"/>
    <x v="3"/>
    <x v="35"/>
    <x v="18"/>
    <x v="33"/>
    <x v="2"/>
    <x v="53"/>
    <x v="0"/>
    <x v="53"/>
    <x v="53"/>
  </r>
  <r>
    <x v="63"/>
    <x v="63"/>
    <x v="33"/>
    <x v="21"/>
    <x v="13"/>
    <x v="5"/>
    <x v="33"/>
    <x v="1"/>
    <x v="37"/>
    <x v="38"/>
    <x v="7"/>
    <x v="42"/>
    <x v="3"/>
    <x v="42"/>
    <x v="42"/>
  </r>
  <r>
    <x v="64"/>
    <x v="64"/>
    <x v="13"/>
    <x v="5"/>
    <x v="35"/>
    <x v="17"/>
    <x v="35"/>
    <x v="24"/>
    <x v="27"/>
    <x v="33"/>
    <x v="2"/>
    <x v="53"/>
    <x v="0"/>
    <x v="53"/>
    <x v="53"/>
  </r>
  <r>
    <x v="65"/>
    <x v="65"/>
    <x v="26"/>
    <x v="32"/>
    <x v="31"/>
    <x v="5"/>
    <x v="27"/>
    <x v="30"/>
    <x v="9"/>
    <x v="46"/>
    <x v="44"/>
    <x v="54"/>
    <x v="3"/>
    <x v="54"/>
    <x v="54"/>
  </r>
  <r>
    <x v="66"/>
    <x v="66"/>
    <x v="20"/>
    <x v="33"/>
    <x v="36"/>
    <x v="7"/>
    <x v="9"/>
    <x v="36"/>
    <x v="8"/>
    <x v="47"/>
    <x v="45"/>
    <x v="55"/>
    <x v="1"/>
    <x v="55"/>
    <x v="55"/>
  </r>
  <r>
    <x v="67"/>
    <x v="67"/>
    <x v="6"/>
    <x v="34"/>
    <x v="17"/>
    <x v="39"/>
    <x v="32"/>
    <x v="32"/>
    <x v="38"/>
    <x v="48"/>
    <x v="46"/>
    <x v="56"/>
    <x v="0"/>
    <x v="56"/>
    <x v="56"/>
  </r>
  <r>
    <x v="68"/>
    <x v="68"/>
    <x v="34"/>
    <x v="12"/>
    <x v="15"/>
    <x v="40"/>
    <x v="21"/>
    <x v="9"/>
    <x v="25"/>
    <x v="21"/>
    <x v="47"/>
    <x v="21"/>
    <x v="2"/>
    <x v="21"/>
    <x v="21"/>
  </r>
  <r>
    <x v="69"/>
    <x v="69"/>
    <x v="5"/>
    <x v="35"/>
    <x v="10"/>
    <x v="18"/>
    <x v="32"/>
    <x v="37"/>
    <x v="14"/>
    <x v="5"/>
    <x v="35"/>
    <x v="31"/>
    <x v="2"/>
    <x v="31"/>
    <x v="31"/>
  </r>
  <r>
    <x v="70"/>
    <x v="70"/>
    <x v="35"/>
    <x v="17"/>
    <x v="13"/>
    <x v="17"/>
    <x v="11"/>
    <x v="0"/>
    <x v="3"/>
    <x v="49"/>
    <x v="26"/>
    <x v="57"/>
    <x v="2"/>
    <x v="57"/>
    <x v="57"/>
  </r>
  <r>
    <x v="71"/>
    <x v="71"/>
    <x v="8"/>
    <x v="36"/>
    <x v="37"/>
    <x v="6"/>
    <x v="29"/>
    <x v="27"/>
    <x v="30"/>
    <x v="50"/>
    <x v="48"/>
    <x v="58"/>
    <x v="1"/>
    <x v="58"/>
    <x v="58"/>
  </r>
  <r>
    <x v="72"/>
    <x v="72"/>
    <x v="13"/>
    <x v="1"/>
    <x v="18"/>
    <x v="5"/>
    <x v="38"/>
    <x v="25"/>
    <x v="39"/>
    <x v="51"/>
    <x v="49"/>
    <x v="59"/>
    <x v="0"/>
    <x v="59"/>
    <x v="59"/>
  </r>
  <r>
    <x v="73"/>
    <x v="73"/>
    <x v="15"/>
    <x v="37"/>
    <x v="36"/>
    <x v="32"/>
    <x v="35"/>
    <x v="38"/>
    <x v="22"/>
    <x v="32"/>
    <x v="1"/>
    <x v="35"/>
    <x v="3"/>
    <x v="35"/>
    <x v="35"/>
  </r>
  <r>
    <x v="74"/>
    <x v="74"/>
    <x v="1"/>
    <x v="38"/>
    <x v="21"/>
    <x v="29"/>
    <x v="30"/>
    <x v="35"/>
    <x v="40"/>
    <x v="28"/>
    <x v="2"/>
    <x v="28"/>
    <x v="0"/>
    <x v="28"/>
    <x v="28"/>
  </r>
  <r>
    <x v="75"/>
    <x v="75"/>
    <x v="15"/>
    <x v="39"/>
    <x v="1"/>
    <x v="30"/>
    <x v="37"/>
    <x v="39"/>
    <x v="41"/>
    <x v="52"/>
    <x v="50"/>
    <x v="60"/>
    <x v="3"/>
    <x v="60"/>
    <x v="60"/>
  </r>
  <r>
    <x v="76"/>
    <x v="76"/>
    <x v="22"/>
    <x v="29"/>
    <x v="34"/>
    <x v="34"/>
    <x v="1"/>
    <x v="37"/>
    <x v="8"/>
    <x v="13"/>
    <x v="49"/>
    <x v="61"/>
    <x v="0"/>
    <x v="61"/>
    <x v="61"/>
  </r>
  <r>
    <x v="77"/>
    <x v="77"/>
    <x v="3"/>
    <x v="25"/>
    <x v="38"/>
    <x v="27"/>
    <x v="39"/>
    <x v="40"/>
    <x v="40"/>
    <x v="3"/>
    <x v="51"/>
    <x v="62"/>
    <x v="2"/>
    <x v="62"/>
    <x v="62"/>
  </r>
  <r>
    <x v="78"/>
    <x v="78"/>
    <x v="6"/>
    <x v="40"/>
    <x v="12"/>
    <x v="24"/>
    <x v="11"/>
    <x v="24"/>
    <x v="31"/>
    <x v="53"/>
    <x v="7"/>
    <x v="63"/>
    <x v="0"/>
    <x v="63"/>
    <x v="63"/>
  </r>
  <r>
    <x v="79"/>
    <x v="79"/>
    <x v="33"/>
    <x v="18"/>
    <x v="3"/>
    <x v="20"/>
    <x v="14"/>
    <x v="30"/>
    <x v="32"/>
    <x v="54"/>
    <x v="33"/>
    <x v="64"/>
    <x v="3"/>
    <x v="64"/>
    <x v="64"/>
  </r>
  <r>
    <x v="80"/>
    <x v="80"/>
    <x v="36"/>
    <x v="5"/>
    <x v="21"/>
    <x v="40"/>
    <x v="40"/>
    <x v="10"/>
    <x v="42"/>
    <x v="55"/>
    <x v="47"/>
    <x v="65"/>
    <x v="0"/>
    <x v="65"/>
    <x v="65"/>
  </r>
  <r>
    <x v="81"/>
    <x v="81"/>
    <x v="3"/>
    <x v="41"/>
    <x v="19"/>
    <x v="3"/>
    <x v="11"/>
    <x v="36"/>
    <x v="43"/>
    <x v="5"/>
    <x v="11"/>
    <x v="31"/>
    <x v="2"/>
    <x v="31"/>
    <x v="31"/>
  </r>
  <r>
    <x v="82"/>
    <x v="82"/>
    <x v="6"/>
    <x v="9"/>
    <x v="15"/>
    <x v="41"/>
    <x v="41"/>
    <x v="41"/>
    <x v="0"/>
    <x v="47"/>
    <x v="32"/>
    <x v="66"/>
    <x v="0"/>
    <x v="66"/>
    <x v="66"/>
  </r>
  <r>
    <x v="83"/>
    <x v="83"/>
    <x v="24"/>
    <x v="42"/>
    <x v="16"/>
    <x v="30"/>
    <x v="0"/>
    <x v="42"/>
    <x v="28"/>
    <x v="49"/>
    <x v="52"/>
    <x v="67"/>
    <x v="2"/>
    <x v="67"/>
    <x v="67"/>
  </r>
  <r>
    <x v="84"/>
    <x v="84"/>
    <x v="4"/>
    <x v="43"/>
    <x v="21"/>
    <x v="42"/>
    <x v="34"/>
    <x v="1"/>
    <x v="44"/>
    <x v="51"/>
    <x v="40"/>
    <x v="68"/>
    <x v="0"/>
    <x v="68"/>
    <x v="68"/>
  </r>
  <r>
    <x v="85"/>
    <x v="85"/>
    <x v="25"/>
    <x v="38"/>
    <x v="39"/>
    <x v="43"/>
    <x v="1"/>
    <x v="24"/>
    <x v="6"/>
    <x v="53"/>
    <x v="5"/>
    <x v="63"/>
    <x v="0"/>
    <x v="63"/>
    <x v="63"/>
  </r>
  <r>
    <x v="86"/>
    <x v="86"/>
    <x v="37"/>
    <x v="44"/>
    <x v="18"/>
    <x v="37"/>
    <x v="33"/>
    <x v="19"/>
    <x v="18"/>
    <x v="3"/>
    <x v="18"/>
    <x v="62"/>
    <x v="3"/>
    <x v="62"/>
    <x v="62"/>
  </r>
  <r>
    <x v="87"/>
    <x v="87"/>
    <x v="18"/>
    <x v="0"/>
    <x v="3"/>
    <x v="42"/>
    <x v="21"/>
    <x v="28"/>
    <x v="45"/>
    <x v="29"/>
    <x v="53"/>
    <x v="29"/>
    <x v="1"/>
    <x v="29"/>
    <x v="29"/>
  </r>
  <r>
    <x v="88"/>
    <x v="88"/>
    <x v="33"/>
    <x v="45"/>
    <x v="40"/>
    <x v="23"/>
    <x v="31"/>
    <x v="40"/>
    <x v="34"/>
    <x v="56"/>
    <x v="54"/>
    <x v="69"/>
    <x v="3"/>
    <x v="69"/>
    <x v="69"/>
  </r>
  <r>
    <x v="89"/>
    <x v="89"/>
    <x v="18"/>
    <x v="6"/>
    <x v="41"/>
    <x v="26"/>
    <x v="29"/>
    <x v="42"/>
    <x v="7"/>
    <x v="57"/>
    <x v="11"/>
    <x v="70"/>
    <x v="1"/>
    <x v="70"/>
    <x v="70"/>
  </r>
  <r>
    <x v="90"/>
    <x v="90"/>
    <x v="35"/>
    <x v="38"/>
    <x v="41"/>
    <x v="13"/>
    <x v="23"/>
    <x v="5"/>
    <x v="0"/>
    <x v="8"/>
    <x v="26"/>
    <x v="71"/>
    <x v="2"/>
    <x v="71"/>
    <x v="71"/>
  </r>
  <r>
    <x v="91"/>
    <x v="91"/>
    <x v="38"/>
    <x v="2"/>
    <x v="24"/>
    <x v="1"/>
    <x v="31"/>
    <x v="6"/>
    <x v="29"/>
    <x v="34"/>
    <x v="55"/>
    <x v="37"/>
    <x v="3"/>
    <x v="37"/>
    <x v="37"/>
  </r>
  <r>
    <x v="92"/>
    <x v="92"/>
    <x v="38"/>
    <x v="12"/>
    <x v="42"/>
    <x v="44"/>
    <x v="9"/>
    <x v="15"/>
    <x v="36"/>
    <x v="2"/>
    <x v="10"/>
    <x v="2"/>
    <x v="3"/>
    <x v="2"/>
    <x v="2"/>
  </r>
  <r>
    <x v="93"/>
    <x v="93"/>
    <x v="39"/>
    <x v="23"/>
    <x v="7"/>
    <x v="45"/>
    <x v="40"/>
    <x v="38"/>
    <x v="4"/>
    <x v="58"/>
    <x v="56"/>
    <x v="72"/>
    <x v="0"/>
    <x v="72"/>
    <x v="72"/>
  </r>
  <r>
    <x v="94"/>
    <x v="94"/>
    <x v="30"/>
    <x v="34"/>
    <x v="10"/>
    <x v="46"/>
    <x v="28"/>
    <x v="15"/>
    <x v="3"/>
    <x v="21"/>
    <x v="57"/>
    <x v="73"/>
    <x v="3"/>
    <x v="73"/>
    <x v="73"/>
  </r>
  <r>
    <x v="95"/>
    <x v="95"/>
    <x v="40"/>
    <x v="1"/>
    <x v="17"/>
    <x v="35"/>
    <x v="24"/>
    <x v="15"/>
    <x v="37"/>
    <x v="59"/>
    <x v="19"/>
    <x v="74"/>
    <x v="1"/>
    <x v="74"/>
    <x v="74"/>
  </r>
  <r>
    <x v="96"/>
    <x v="96"/>
    <x v="9"/>
    <x v="21"/>
    <x v="8"/>
    <x v="11"/>
    <x v="26"/>
    <x v="17"/>
    <x v="0"/>
    <x v="20"/>
    <x v="19"/>
    <x v="30"/>
    <x v="2"/>
    <x v="30"/>
    <x v="30"/>
  </r>
  <r>
    <x v="97"/>
    <x v="97"/>
    <x v="23"/>
    <x v="37"/>
    <x v="43"/>
    <x v="1"/>
    <x v="16"/>
    <x v="42"/>
    <x v="46"/>
    <x v="23"/>
    <x v="54"/>
    <x v="23"/>
    <x v="0"/>
    <x v="23"/>
    <x v="23"/>
  </r>
  <r>
    <x v="98"/>
    <x v="98"/>
    <x v="37"/>
    <x v="0"/>
    <x v="34"/>
    <x v="26"/>
    <x v="14"/>
    <x v="8"/>
    <x v="47"/>
    <x v="60"/>
    <x v="58"/>
    <x v="75"/>
    <x v="3"/>
    <x v="75"/>
    <x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" applyNumberFormats="0" applyBorderFormats="0" applyFontFormats="0" applyPatternFormats="0" applyAlignmentFormats="0" applyWidthHeightFormats="1" dataCaption="Values" updatedVersion="8" minRefreshableVersion="3" useAutoFormatting="1" createdVersion="5" indent="0" compact="0" outline="1" outlineData="1" compactData="0" multipleFieldFilters="0">
  <location ref="A3:A103" firstHeaderRow="1" firstDataRow="1" firstDataCol="1"/>
  <pivotFields count="15">
    <pivotField compact="0" showAl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axis="axisRow" compact="0" showAll="0">
      <items count="100">
        <item x="0"/>
        <item x="18"/>
        <item x="17"/>
        <item x="44"/>
        <item x="75"/>
        <item x="5"/>
        <item x="19"/>
        <item x="41"/>
        <item x="7"/>
        <item x="87"/>
        <item x="40"/>
        <item x="78"/>
        <item x="59"/>
        <item x="79"/>
        <item x="46"/>
        <item x="85"/>
        <item x="71"/>
        <item x="34"/>
        <item x="84"/>
        <item x="3"/>
        <item x="27"/>
        <item x="6"/>
        <item x="8"/>
        <item x="69"/>
        <item x="81"/>
        <item x="51"/>
        <item x="97"/>
        <item x="63"/>
        <item x="42"/>
        <item x="86"/>
        <item x="47"/>
        <item x="29"/>
        <item x="2"/>
        <item x="48"/>
        <item x="12"/>
        <item x="36"/>
        <item x="83"/>
        <item x="16"/>
        <item x="45"/>
        <item x="39"/>
        <item x="61"/>
        <item x="54"/>
        <item x="74"/>
        <item x="57"/>
        <item x="56"/>
        <item x="1"/>
        <item x="90"/>
        <item x="20"/>
        <item x="21"/>
        <item x="65"/>
        <item x="76"/>
        <item x="14"/>
        <item x="24"/>
        <item x="66"/>
        <item x="30"/>
        <item x="13"/>
        <item x="55"/>
        <item x="88"/>
        <item x="96"/>
        <item x="22"/>
        <item x="70"/>
        <item x="89"/>
        <item x="26"/>
        <item x="37"/>
        <item x="73"/>
        <item x="64"/>
        <item x="4"/>
        <item x="92"/>
        <item x="95"/>
        <item x="93"/>
        <item x="38"/>
        <item x="72"/>
        <item x="35"/>
        <item x="58"/>
        <item x="33"/>
        <item x="31"/>
        <item x="67"/>
        <item x="62"/>
        <item x="82"/>
        <item x="52"/>
        <item x="43"/>
        <item x="68"/>
        <item x="49"/>
        <item x="94"/>
        <item x="53"/>
        <item x="50"/>
        <item x="60"/>
        <item x="77"/>
        <item x="23"/>
        <item x="10"/>
        <item x="98"/>
        <item x="9"/>
        <item x="91"/>
        <item x="28"/>
        <item x="11"/>
        <item x="32"/>
        <item x="80"/>
        <item x="15"/>
        <item x="25"/>
        <item t="default"/>
      </items>
    </pivotField>
    <pivotField compact="0" showAll="0">
      <items count="42">
        <item x="18"/>
        <item x="10"/>
        <item x="40"/>
        <item x="7"/>
        <item x="2"/>
        <item x="20"/>
        <item x="31"/>
        <item x="8"/>
        <item x="16"/>
        <item x="34"/>
        <item x="5"/>
        <item x="3"/>
        <item x="9"/>
        <item x="35"/>
        <item x="24"/>
        <item x="17"/>
        <item x="12"/>
        <item x="37"/>
        <item x="29"/>
        <item x="38"/>
        <item x="30"/>
        <item x="33"/>
        <item x="26"/>
        <item x="21"/>
        <item x="15"/>
        <item x="6"/>
        <item x="11"/>
        <item x="1"/>
        <item x="27"/>
        <item x="23"/>
        <item x="13"/>
        <item x="25"/>
        <item x="4"/>
        <item x="28"/>
        <item x="19"/>
        <item x="22"/>
        <item x="32"/>
        <item x="39"/>
        <item x="14"/>
        <item x="0"/>
        <item x="3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103"/>
  <sheetViews>
    <sheetView workbookViewId="0">
      <selection activeCell="A3" sqref="A3"/>
    </sheetView>
  </sheetViews>
  <sheetFormatPr defaultColWidth="8.7265625" defaultRowHeight="14.5"/>
  <cols>
    <col min="1" max="1" width="15.36328125" bestFit="1" customWidth="1"/>
    <col min="2" max="42" width="5.08984375" bestFit="1" customWidth="1"/>
    <col min="43" max="43" width="10.7265625" bestFit="1" customWidth="1"/>
    <col min="44" max="99" width="8.453125"/>
    <col min="100" max="100" width="11.54296875"/>
  </cols>
  <sheetData>
    <row r="3" spans="1:1">
      <c r="A3" s="4" t="s">
        <v>16</v>
      </c>
    </row>
    <row r="4" spans="1:1">
      <c r="A4" t="s">
        <v>18</v>
      </c>
    </row>
    <row r="5" spans="1:1">
      <c r="A5" t="s">
        <v>54</v>
      </c>
    </row>
    <row r="6" spans="1:1">
      <c r="A6" t="s">
        <v>52</v>
      </c>
    </row>
    <row r="7" spans="1:1">
      <c r="A7" t="s">
        <v>106</v>
      </c>
    </row>
    <row r="8" spans="1:1">
      <c r="A8" t="s">
        <v>168</v>
      </c>
    </row>
    <row r="9" spans="1:1">
      <c r="A9" t="s">
        <v>28</v>
      </c>
    </row>
    <row r="10" spans="1:1">
      <c r="A10" t="s">
        <v>56</v>
      </c>
    </row>
    <row r="11" spans="1:1">
      <c r="A11" t="s">
        <v>100</v>
      </c>
    </row>
    <row r="12" spans="1:1">
      <c r="A12" t="s">
        <v>32</v>
      </c>
    </row>
    <row r="13" spans="1:1">
      <c r="A13" t="s">
        <v>192</v>
      </c>
    </row>
    <row r="14" spans="1:1">
      <c r="A14" t="s">
        <v>98</v>
      </c>
    </row>
    <row r="15" spans="1:1">
      <c r="A15" t="s">
        <v>174</v>
      </c>
    </row>
    <row r="16" spans="1:1">
      <c r="A16" t="s">
        <v>136</v>
      </c>
    </row>
    <row r="17" spans="1:1">
      <c r="A17" t="s">
        <v>176</v>
      </c>
    </row>
    <row r="18" spans="1:1">
      <c r="A18" t="s">
        <v>110</v>
      </c>
    </row>
    <row r="19" spans="1:1">
      <c r="A19" t="s">
        <v>188</v>
      </c>
    </row>
    <row r="20" spans="1:1">
      <c r="A20" t="s">
        <v>160</v>
      </c>
    </row>
    <row r="21" spans="1:1">
      <c r="A21" t="s">
        <v>86</v>
      </c>
    </row>
    <row r="22" spans="1:1">
      <c r="A22" t="s">
        <v>186</v>
      </c>
    </row>
    <row r="23" spans="1:1">
      <c r="A23" t="s">
        <v>24</v>
      </c>
    </row>
    <row r="24" spans="1:1">
      <c r="A24" t="s">
        <v>72</v>
      </c>
    </row>
    <row r="25" spans="1:1">
      <c r="A25" t="s">
        <v>30</v>
      </c>
    </row>
    <row r="26" spans="1:1">
      <c r="A26" t="s">
        <v>34</v>
      </c>
    </row>
    <row r="27" spans="1:1">
      <c r="A27" t="s">
        <v>156</v>
      </c>
    </row>
    <row r="28" spans="1:1">
      <c r="A28" t="s">
        <v>180</v>
      </c>
    </row>
    <row r="29" spans="1:1">
      <c r="A29" t="s">
        <v>120</v>
      </c>
    </row>
    <row r="30" spans="1:1">
      <c r="A30" t="s">
        <v>212</v>
      </c>
    </row>
    <row r="31" spans="1:1">
      <c r="A31" t="s">
        <v>144</v>
      </c>
    </row>
    <row r="32" spans="1:1">
      <c r="A32" t="s">
        <v>102</v>
      </c>
    </row>
    <row r="33" spans="1:1">
      <c r="A33" t="s">
        <v>190</v>
      </c>
    </row>
    <row r="34" spans="1:1">
      <c r="A34" t="s">
        <v>112</v>
      </c>
    </row>
    <row r="35" spans="1:1">
      <c r="A35" t="s">
        <v>76</v>
      </c>
    </row>
    <row r="36" spans="1:1">
      <c r="A36" t="s">
        <v>22</v>
      </c>
    </row>
    <row r="37" spans="1:1">
      <c r="A37" t="s">
        <v>114</v>
      </c>
    </row>
    <row r="38" spans="1:1">
      <c r="A38" t="s">
        <v>42</v>
      </c>
    </row>
    <row r="39" spans="1:1">
      <c r="A39" t="s">
        <v>90</v>
      </c>
    </row>
    <row r="40" spans="1:1">
      <c r="A40" t="s">
        <v>184</v>
      </c>
    </row>
    <row r="41" spans="1:1">
      <c r="A41" t="s">
        <v>50</v>
      </c>
    </row>
    <row r="42" spans="1:1">
      <c r="A42" t="s">
        <v>108</v>
      </c>
    </row>
    <row r="43" spans="1:1">
      <c r="A43" t="s">
        <v>96</v>
      </c>
    </row>
    <row r="44" spans="1:1">
      <c r="A44" t="s">
        <v>140</v>
      </c>
    </row>
    <row r="45" spans="1:1">
      <c r="A45" t="s">
        <v>126</v>
      </c>
    </row>
    <row r="46" spans="1:1">
      <c r="A46" t="s">
        <v>166</v>
      </c>
    </row>
    <row r="47" spans="1:1">
      <c r="A47" t="s">
        <v>132</v>
      </c>
    </row>
    <row r="48" spans="1:1">
      <c r="A48" t="s">
        <v>130</v>
      </c>
    </row>
    <row r="49" spans="1:1">
      <c r="A49" t="s">
        <v>20</v>
      </c>
    </row>
    <row r="50" spans="1:1">
      <c r="A50" t="s">
        <v>198</v>
      </c>
    </row>
    <row r="51" spans="1:1">
      <c r="A51" t="s">
        <v>58</v>
      </c>
    </row>
    <row r="52" spans="1:1">
      <c r="A52" t="s">
        <v>60</v>
      </c>
    </row>
    <row r="53" spans="1:1">
      <c r="A53" t="s">
        <v>148</v>
      </c>
    </row>
    <row r="54" spans="1:1">
      <c r="A54" t="s">
        <v>170</v>
      </c>
    </row>
    <row r="55" spans="1:1">
      <c r="A55" t="s">
        <v>46</v>
      </c>
    </row>
    <row r="56" spans="1:1">
      <c r="A56" t="s">
        <v>66</v>
      </c>
    </row>
    <row r="57" spans="1:1">
      <c r="A57" t="s">
        <v>150</v>
      </c>
    </row>
    <row r="58" spans="1:1">
      <c r="A58" t="s">
        <v>78</v>
      </c>
    </row>
    <row r="59" spans="1:1">
      <c r="A59" t="s">
        <v>44</v>
      </c>
    </row>
    <row r="60" spans="1:1">
      <c r="A60" t="s">
        <v>128</v>
      </c>
    </row>
    <row r="61" spans="1:1">
      <c r="A61" t="s">
        <v>194</v>
      </c>
    </row>
    <row r="62" spans="1:1">
      <c r="A62" t="s">
        <v>210</v>
      </c>
    </row>
    <row r="63" spans="1:1">
      <c r="A63" t="s">
        <v>62</v>
      </c>
    </row>
    <row r="64" spans="1:1">
      <c r="A64" t="s">
        <v>158</v>
      </c>
    </row>
    <row r="65" spans="1:1">
      <c r="A65" t="s">
        <v>196</v>
      </c>
    </row>
    <row r="66" spans="1:1">
      <c r="A66" t="s">
        <v>70</v>
      </c>
    </row>
    <row r="67" spans="1:1">
      <c r="A67" t="s">
        <v>92</v>
      </c>
    </row>
    <row r="68" spans="1:1">
      <c r="A68" t="s">
        <v>164</v>
      </c>
    </row>
    <row r="69" spans="1:1">
      <c r="A69" t="s">
        <v>146</v>
      </c>
    </row>
    <row r="70" spans="1:1">
      <c r="A70" t="s">
        <v>26</v>
      </c>
    </row>
    <row r="71" spans="1:1">
      <c r="A71" t="s">
        <v>202</v>
      </c>
    </row>
    <row r="72" spans="1:1">
      <c r="A72" t="s">
        <v>208</v>
      </c>
    </row>
    <row r="73" spans="1:1">
      <c r="A73" t="s">
        <v>204</v>
      </c>
    </row>
    <row r="74" spans="1:1">
      <c r="A74" t="s">
        <v>94</v>
      </c>
    </row>
    <row r="75" spans="1:1">
      <c r="A75" t="s">
        <v>162</v>
      </c>
    </row>
    <row r="76" spans="1:1">
      <c r="A76" t="s">
        <v>88</v>
      </c>
    </row>
    <row r="77" spans="1:1">
      <c r="A77" t="s">
        <v>134</v>
      </c>
    </row>
    <row r="78" spans="1:1">
      <c r="A78" t="s">
        <v>84</v>
      </c>
    </row>
    <row r="79" spans="1:1">
      <c r="A79" t="s">
        <v>80</v>
      </c>
    </row>
    <row r="80" spans="1:1">
      <c r="A80" t="s">
        <v>152</v>
      </c>
    </row>
    <row r="81" spans="1:1">
      <c r="A81" t="s">
        <v>142</v>
      </c>
    </row>
    <row r="82" spans="1:1">
      <c r="A82" t="s">
        <v>182</v>
      </c>
    </row>
    <row r="83" spans="1:1">
      <c r="A83" t="s">
        <v>122</v>
      </c>
    </row>
    <row r="84" spans="1:1">
      <c r="A84" t="s">
        <v>104</v>
      </c>
    </row>
    <row r="85" spans="1:1">
      <c r="A85" t="s">
        <v>154</v>
      </c>
    </row>
    <row r="86" spans="1:1">
      <c r="A86" t="s">
        <v>116</v>
      </c>
    </row>
    <row r="87" spans="1:1">
      <c r="A87" t="s">
        <v>206</v>
      </c>
    </row>
    <row r="88" spans="1:1">
      <c r="A88" t="s">
        <v>124</v>
      </c>
    </row>
    <row r="89" spans="1:1">
      <c r="A89" t="s">
        <v>118</v>
      </c>
    </row>
    <row r="90" spans="1:1">
      <c r="A90" t="s">
        <v>138</v>
      </c>
    </row>
    <row r="91" spans="1:1">
      <c r="A91" t="s">
        <v>172</v>
      </c>
    </row>
    <row r="92" spans="1:1">
      <c r="A92" t="s">
        <v>64</v>
      </c>
    </row>
    <row r="93" spans="1:1">
      <c r="A93" t="s">
        <v>38</v>
      </c>
    </row>
    <row r="94" spans="1:1">
      <c r="A94" t="s">
        <v>214</v>
      </c>
    </row>
    <row r="95" spans="1:1">
      <c r="A95" t="s">
        <v>36</v>
      </c>
    </row>
    <row r="96" spans="1:1">
      <c r="A96" t="s">
        <v>200</v>
      </c>
    </row>
    <row r="97" spans="1:1">
      <c r="A97" t="s">
        <v>74</v>
      </c>
    </row>
    <row r="98" spans="1:1">
      <c r="A98" t="s">
        <v>40</v>
      </c>
    </row>
    <row r="99" spans="1:1">
      <c r="A99" t="s">
        <v>82</v>
      </c>
    </row>
    <row r="100" spans="1:1">
      <c r="A100" t="s">
        <v>178</v>
      </c>
    </row>
    <row r="101" spans="1:1">
      <c r="A101" t="s">
        <v>48</v>
      </c>
    </row>
    <row r="102" spans="1:1">
      <c r="A102" t="s">
        <v>68</v>
      </c>
    </row>
    <row r="103" spans="1:1">
      <c r="A103" t="s">
        <v>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"/>
  <sheetViews>
    <sheetView tabSelected="1" zoomScale="76" zoomScaleNormal="76" workbookViewId="0">
      <selection activeCell="A2" sqref="A2:O101"/>
    </sheetView>
  </sheetViews>
  <sheetFormatPr defaultColWidth="9" defaultRowHeight="14.5"/>
  <cols>
    <col min="12" max="12" width="12.81640625"/>
    <col min="15" max="15" width="12.81640625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t="s">
        <v>14</v>
      </c>
    </row>
    <row r="2" spans="1:15">
      <c r="A2" t="s">
        <v>15</v>
      </c>
      <c r="B2" t="s">
        <v>16</v>
      </c>
      <c r="C2">
        <v>70</v>
      </c>
      <c r="D2">
        <v>100</v>
      </c>
      <c r="E2">
        <v>81</v>
      </c>
      <c r="F2">
        <v>68</v>
      </c>
      <c r="G2">
        <v>91</v>
      </c>
      <c r="H2">
        <v>63</v>
      </c>
      <c r="I2">
        <v>67</v>
      </c>
      <c r="J2">
        <v>3.09</v>
      </c>
      <c r="K2">
        <v>3.15</v>
      </c>
      <c r="L2">
        <f>N2/700*100</f>
        <v>77.142857142857196</v>
      </c>
      <c r="M2" t="str">
        <f>IF(C2&gt;=80,"A",IF(C2&gt;=70,"B",IF(C2&gt;=60,"C",IF(C2&gt;=50,"D","F"))))</f>
        <v>B</v>
      </c>
      <c r="N2" s="3">
        <f>C2+D2+E2+F2+G2+H2+I2</f>
        <v>540</v>
      </c>
      <c r="O2">
        <f>AVERAGE(C2:I2)</f>
        <v>77.142857142857096</v>
      </c>
    </row>
    <row r="3" spans="1:15">
      <c r="A3" t="s">
        <v>17</v>
      </c>
      <c r="B3" t="s">
        <v>18</v>
      </c>
      <c r="C3">
        <v>98</v>
      </c>
      <c r="D3">
        <v>62</v>
      </c>
      <c r="E3">
        <v>64</v>
      </c>
      <c r="F3">
        <v>59</v>
      </c>
      <c r="G3">
        <v>78</v>
      </c>
      <c r="H3">
        <v>54</v>
      </c>
      <c r="I3">
        <v>59</v>
      </c>
      <c r="J3">
        <v>2.71</v>
      </c>
      <c r="K3">
        <v>2.59</v>
      </c>
      <c r="L3">
        <f t="shared" ref="L3:L34" si="0">N3/700*100</f>
        <v>67.714285714285694</v>
      </c>
      <c r="M3" t="str">
        <f t="shared" ref="M3:M34" si="1">IF(C3&gt;=80,"A",IF(C3&gt;=70,"B",IF(C3&gt;=60,"C",IF(C3&gt;=50,"D","F"))))</f>
        <v>A</v>
      </c>
      <c r="N3" s="3">
        <f t="shared" ref="N3:N34" si="2">C3+D3+E3+F3+G3+H3+I3</f>
        <v>474</v>
      </c>
      <c r="O3">
        <f t="shared" ref="O3:O34" si="3">AVERAGE(C3:I3)</f>
        <v>67.714285714285694</v>
      </c>
    </row>
    <row r="4" spans="1:15">
      <c r="A4" t="s">
        <v>19</v>
      </c>
      <c r="B4" t="s">
        <v>20</v>
      </c>
      <c r="C4">
        <v>84</v>
      </c>
      <c r="D4">
        <v>58</v>
      </c>
      <c r="E4">
        <v>53</v>
      </c>
      <c r="F4">
        <v>70</v>
      </c>
      <c r="G4">
        <v>72</v>
      </c>
      <c r="H4">
        <v>94</v>
      </c>
      <c r="I4">
        <v>89</v>
      </c>
      <c r="J4">
        <v>2.97</v>
      </c>
      <c r="K4">
        <v>3.1</v>
      </c>
      <c r="L4">
        <f t="shared" si="0"/>
        <v>74.285714285714306</v>
      </c>
      <c r="M4" t="str">
        <f t="shared" si="1"/>
        <v>A</v>
      </c>
      <c r="N4" s="3">
        <f t="shared" si="2"/>
        <v>520</v>
      </c>
      <c r="O4">
        <f t="shared" si="3"/>
        <v>74.285714285714306</v>
      </c>
    </row>
    <row r="5" spans="1:15">
      <c r="A5" t="s">
        <v>21</v>
      </c>
      <c r="B5" t="s">
        <v>22</v>
      </c>
      <c r="C5">
        <v>55</v>
      </c>
      <c r="D5">
        <v>58</v>
      </c>
      <c r="E5">
        <v>65</v>
      </c>
      <c r="F5">
        <v>64</v>
      </c>
      <c r="G5">
        <v>85</v>
      </c>
      <c r="H5">
        <v>84</v>
      </c>
      <c r="I5">
        <v>58</v>
      </c>
      <c r="J5">
        <v>2.68</v>
      </c>
      <c r="K5">
        <v>2.82</v>
      </c>
      <c r="L5">
        <f t="shared" si="0"/>
        <v>67</v>
      </c>
      <c r="M5" t="str">
        <f t="shared" si="1"/>
        <v>D</v>
      </c>
      <c r="N5" s="3">
        <f t="shared" si="2"/>
        <v>469</v>
      </c>
      <c r="O5">
        <f t="shared" si="3"/>
        <v>67</v>
      </c>
    </row>
    <row r="6" spans="1:15">
      <c r="A6" t="s">
        <v>23</v>
      </c>
      <c r="B6" t="s">
        <v>24</v>
      </c>
      <c r="C6">
        <v>63</v>
      </c>
      <c r="D6">
        <v>100</v>
      </c>
      <c r="E6">
        <v>70</v>
      </c>
      <c r="F6">
        <v>66</v>
      </c>
      <c r="G6">
        <v>72</v>
      </c>
      <c r="H6">
        <v>50</v>
      </c>
      <c r="I6">
        <v>79</v>
      </c>
      <c r="J6">
        <v>2.86</v>
      </c>
      <c r="K6">
        <v>2.95</v>
      </c>
      <c r="L6">
        <f t="shared" si="0"/>
        <v>71.428571428571402</v>
      </c>
      <c r="M6" t="str">
        <f t="shared" si="1"/>
        <v>C</v>
      </c>
      <c r="N6" s="3">
        <f t="shared" si="2"/>
        <v>500</v>
      </c>
      <c r="O6">
        <f t="shared" si="3"/>
        <v>71.428571428571402</v>
      </c>
    </row>
    <row r="7" spans="1:15">
      <c r="A7" t="s">
        <v>25</v>
      </c>
      <c r="B7" t="s">
        <v>26</v>
      </c>
      <c r="C7">
        <v>90</v>
      </c>
      <c r="D7">
        <v>68</v>
      </c>
      <c r="E7">
        <v>54</v>
      </c>
      <c r="F7">
        <v>95</v>
      </c>
      <c r="G7">
        <v>94</v>
      </c>
      <c r="H7">
        <v>87</v>
      </c>
      <c r="I7">
        <v>94</v>
      </c>
      <c r="J7">
        <v>3.33</v>
      </c>
      <c r="K7">
        <v>3.28</v>
      </c>
      <c r="L7">
        <f t="shared" si="0"/>
        <v>83.142857142857096</v>
      </c>
      <c r="M7" t="str">
        <f t="shared" si="1"/>
        <v>A</v>
      </c>
      <c r="N7" s="3">
        <f t="shared" si="2"/>
        <v>582</v>
      </c>
      <c r="O7">
        <f t="shared" si="3"/>
        <v>83.142857142857096</v>
      </c>
    </row>
    <row r="8" spans="1:15">
      <c r="A8" t="s">
        <v>27</v>
      </c>
      <c r="B8" t="s">
        <v>28</v>
      </c>
      <c r="C8">
        <v>61</v>
      </c>
      <c r="D8">
        <v>60</v>
      </c>
      <c r="E8">
        <v>99</v>
      </c>
      <c r="F8">
        <v>57</v>
      </c>
      <c r="G8">
        <v>78</v>
      </c>
      <c r="H8">
        <v>84</v>
      </c>
      <c r="I8">
        <v>84</v>
      </c>
      <c r="J8">
        <v>2.99</v>
      </c>
      <c r="K8">
        <v>3.12</v>
      </c>
      <c r="L8">
        <f t="shared" si="0"/>
        <v>74.714285714285694</v>
      </c>
      <c r="M8" t="str">
        <f t="shared" si="1"/>
        <v>C</v>
      </c>
      <c r="N8" s="3">
        <f t="shared" si="2"/>
        <v>523</v>
      </c>
      <c r="O8">
        <f t="shared" si="3"/>
        <v>74.714285714285694</v>
      </c>
    </row>
    <row r="9" spans="1:15">
      <c r="A9" t="s">
        <v>29</v>
      </c>
      <c r="B9" t="s">
        <v>30</v>
      </c>
      <c r="C9">
        <v>81</v>
      </c>
      <c r="D9">
        <v>80</v>
      </c>
      <c r="E9">
        <v>65</v>
      </c>
      <c r="F9">
        <v>67</v>
      </c>
      <c r="G9">
        <v>94</v>
      </c>
      <c r="H9">
        <v>70</v>
      </c>
      <c r="I9">
        <v>70</v>
      </c>
      <c r="J9">
        <v>3.01</v>
      </c>
      <c r="K9">
        <v>2.9</v>
      </c>
      <c r="L9">
        <f t="shared" si="0"/>
        <v>75.285714285714306</v>
      </c>
      <c r="M9" t="str">
        <f t="shared" si="1"/>
        <v>A</v>
      </c>
      <c r="N9" s="3">
        <f t="shared" si="2"/>
        <v>527</v>
      </c>
      <c r="O9">
        <f t="shared" si="3"/>
        <v>75.285714285714306</v>
      </c>
    </row>
    <row r="10" spans="1:15">
      <c r="A10" t="s">
        <v>31</v>
      </c>
      <c r="B10" t="s">
        <v>32</v>
      </c>
      <c r="C10">
        <v>54</v>
      </c>
      <c r="D10">
        <v>84</v>
      </c>
      <c r="E10">
        <v>93</v>
      </c>
      <c r="F10">
        <v>91</v>
      </c>
      <c r="G10">
        <v>94</v>
      </c>
      <c r="H10">
        <v>77</v>
      </c>
      <c r="I10">
        <v>95</v>
      </c>
      <c r="J10">
        <v>3.36</v>
      </c>
      <c r="K10">
        <v>3.22</v>
      </c>
      <c r="L10">
        <f t="shared" si="0"/>
        <v>84</v>
      </c>
      <c r="M10" t="str">
        <f t="shared" si="1"/>
        <v>D</v>
      </c>
      <c r="N10" s="3">
        <f t="shared" si="2"/>
        <v>588</v>
      </c>
      <c r="O10">
        <f t="shared" si="3"/>
        <v>84</v>
      </c>
    </row>
    <row r="11" spans="1:15">
      <c r="A11" t="s">
        <v>33</v>
      </c>
      <c r="B11" t="s">
        <v>34</v>
      </c>
      <c r="C11">
        <v>58</v>
      </c>
      <c r="D11">
        <v>96</v>
      </c>
      <c r="E11">
        <v>63</v>
      </c>
      <c r="F11">
        <v>65</v>
      </c>
      <c r="G11">
        <v>77</v>
      </c>
      <c r="H11">
        <v>58</v>
      </c>
      <c r="I11">
        <v>56</v>
      </c>
      <c r="J11">
        <v>2.7</v>
      </c>
      <c r="K11">
        <v>2.71</v>
      </c>
      <c r="L11">
        <f t="shared" si="0"/>
        <v>67.571428571428598</v>
      </c>
      <c r="M11" t="str">
        <f t="shared" si="1"/>
        <v>D</v>
      </c>
      <c r="N11" s="3">
        <f t="shared" si="2"/>
        <v>473</v>
      </c>
      <c r="O11">
        <f t="shared" si="3"/>
        <v>67.571428571428598</v>
      </c>
    </row>
    <row r="12" spans="1:15">
      <c r="A12" t="s">
        <v>35</v>
      </c>
      <c r="B12" t="s">
        <v>36</v>
      </c>
      <c r="C12">
        <v>65</v>
      </c>
      <c r="D12">
        <v>82</v>
      </c>
      <c r="E12">
        <v>73</v>
      </c>
      <c r="F12">
        <v>94</v>
      </c>
      <c r="G12">
        <v>86</v>
      </c>
      <c r="H12">
        <v>64</v>
      </c>
      <c r="I12">
        <v>90</v>
      </c>
      <c r="J12">
        <v>3.17</v>
      </c>
      <c r="K12">
        <v>3.03</v>
      </c>
      <c r="L12">
        <f t="shared" si="0"/>
        <v>79.142857142857196</v>
      </c>
      <c r="M12" t="str">
        <f t="shared" si="1"/>
        <v>C</v>
      </c>
      <c r="N12" s="3">
        <f t="shared" si="2"/>
        <v>554</v>
      </c>
      <c r="O12">
        <f t="shared" si="3"/>
        <v>79.142857142857096</v>
      </c>
    </row>
    <row r="13" spans="1:15">
      <c r="A13" t="s">
        <v>37</v>
      </c>
      <c r="B13" t="s">
        <v>38</v>
      </c>
      <c r="C13">
        <v>52</v>
      </c>
      <c r="D13">
        <v>57</v>
      </c>
      <c r="E13">
        <v>72</v>
      </c>
      <c r="F13">
        <v>74</v>
      </c>
      <c r="G13">
        <v>56</v>
      </c>
      <c r="H13">
        <v>97</v>
      </c>
      <c r="I13">
        <v>83</v>
      </c>
      <c r="J13">
        <v>2.81</v>
      </c>
      <c r="K13">
        <v>2.88</v>
      </c>
      <c r="L13">
        <f t="shared" si="0"/>
        <v>70.142857142857096</v>
      </c>
      <c r="M13" t="str">
        <f t="shared" si="1"/>
        <v>D</v>
      </c>
      <c r="N13" s="3">
        <f t="shared" si="2"/>
        <v>491</v>
      </c>
      <c r="O13">
        <f t="shared" si="3"/>
        <v>70.142857142857096</v>
      </c>
    </row>
    <row r="14" spans="1:15">
      <c r="A14" t="s">
        <v>39</v>
      </c>
      <c r="B14" t="s">
        <v>40</v>
      </c>
      <c r="C14">
        <v>83</v>
      </c>
      <c r="D14">
        <v>94</v>
      </c>
      <c r="E14">
        <v>85</v>
      </c>
      <c r="F14">
        <v>77</v>
      </c>
      <c r="G14">
        <v>75</v>
      </c>
      <c r="H14">
        <v>85</v>
      </c>
      <c r="I14">
        <v>93</v>
      </c>
      <c r="J14">
        <v>3.38</v>
      </c>
      <c r="K14">
        <v>3.22</v>
      </c>
      <c r="L14">
        <f t="shared" si="0"/>
        <v>84.571428571428598</v>
      </c>
      <c r="M14" t="str">
        <f t="shared" si="1"/>
        <v>A</v>
      </c>
      <c r="N14" s="3">
        <f t="shared" si="2"/>
        <v>592</v>
      </c>
      <c r="O14">
        <f t="shared" si="3"/>
        <v>84.571428571428598</v>
      </c>
    </row>
    <row r="15" spans="1:15">
      <c r="A15" t="s">
        <v>41</v>
      </c>
      <c r="B15" t="s">
        <v>42</v>
      </c>
      <c r="C15">
        <v>70</v>
      </c>
      <c r="D15">
        <v>65</v>
      </c>
      <c r="E15">
        <v>78</v>
      </c>
      <c r="F15">
        <v>75</v>
      </c>
      <c r="G15">
        <v>70</v>
      </c>
      <c r="H15">
        <v>61</v>
      </c>
      <c r="I15">
        <v>93</v>
      </c>
      <c r="J15">
        <v>2.93</v>
      </c>
      <c r="K15">
        <v>3</v>
      </c>
      <c r="L15">
        <f t="shared" si="0"/>
        <v>73.142857142857096</v>
      </c>
      <c r="M15" t="str">
        <f t="shared" si="1"/>
        <v>B</v>
      </c>
      <c r="N15" s="3">
        <f t="shared" si="2"/>
        <v>512</v>
      </c>
      <c r="O15">
        <f t="shared" si="3"/>
        <v>73.142857142857096</v>
      </c>
    </row>
    <row r="16" spans="1:15">
      <c r="A16" t="s">
        <v>43</v>
      </c>
      <c r="B16" t="s">
        <v>44</v>
      </c>
      <c r="C16">
        <v>88</v>
      </c>
      <c r="D16">
        <v>85</v>
      </c>
      <c r="E16">
        <v>61</v>
      </c>
      <c r="F16">
        <v>65</v>
      </c>
      <c r="G16">
        <v>54</v>
      </c>
      <c r="H16">
        <v>93</v>
      </c>
      <c r="I16">
        <v>99</v>
      </c>
      <c r="J16">
        <v>3.11</v>
      </c>
      <c r="K16">
        <v>3.19</v>
      </c>
      <c r="L16">
        <f t="shared" si="0"/>
        <v>77.857142857142904</v>
      </c>
      <c r="M16" t="str">
        <f t="shared" si="1"/>
        <v>A</v>
      </c>
      <c r="N16" s="3">
        <f t="shared" si="2"/>
        <v>545</v>
      </c>
      <c r="O16">
        <f t="shared" si="3"/>
        <v>77.857142857142904</v>
      </c>
    </row>
    <row r="17" spans="1:15">
      <c r="A17" t="s">
        <v>45</v>
      </c>
      <c r="B17" t="s">
        <v>46</v>
      </c>
      <c r="C17">
        <v>97</v>
      </c>
      <c r="D17">
        <v>70</v>
      </c>
      <c r="E17">
        <v>64</v>
      </c>
      <c r="F17">
        <v>88</v>
      </c>
      <c r="G17">
        <v>53</v>
      </c>
      <c r="H17">
        <v>80</v>
      </c>
      <c r="I17">
        <v>87</v>
      </c>
      <c r="J17">
        <v>3.08</v>
      </c>
      <c r="K17">
        <v>3.2</v>
      </c>
      <c r="L17">
        <f t="shared" si="0"/>
        <v>77</v>
      </c>
      <c r="M17" t="str">
        <f t="shared" si="1"/>
        <v>A</v>
      </c>
      <c r="N17" s="3">
        <f t="shared" si="2"/>
        <v>539</v>
      </c>
      <c r="O17">
        <f t="shared" si="3"/>
        <v>77</v>
      </c>
    </row>
    <row r="18" spans="1:15">
      <c r="A18" t="s">
        <v>47</v>
      </c>
      <c r="B18" t="s">
        <v>48</v>
      </c>
      <c r="C18">
        <v>79</v>
      </c>
      <c r="D18">
        <v>61</v>
      </c>
      <c r="E18">
        <v>53</v>
      </c>
      <c r="F18">
        <v>94</v>
      </c>
      <c r="G18">
        <v>74</v>
      </c>
      <c r="H18">
        <v>69</v>
      </c>
      <c r="I18">
        <v>64</v>
      </c>
      <c r="J18">
        <v>2.82</v>
      </c>
      <c r="K18">
        <v>2.84</v>
      </c>
      <c r="L18">
        <f t="shared" si="0"/>
        <v>70.571428571428598</v>
      </c>
      <c r="M18" t="str">
        <f t="shared" si="1"/>
        <v>B</v>
      </c>
      <c r="N18" s="3">
        <f t="shared" si="2"/>
        <v>494</v>
      </c>
      <c r="O18">
        <f t="shared" si="3"/>
        <v>70.571428571428598</v>
      </c>
    </row>
    <row r="19" spans="1:15">
      <c r="A19" t="s">
        <v>49</v>
      </c>
      <c r="B19" t="s">
        <v>50</v>
      </c>
      <c r="C19">
        <v>52</v>
      </c>
      <c r="D19">
        <v>81</v>
      </c>
      <c r="E19">
        <v>63</v>
      </c>
      <c r="F19">
        <v>61</v>
      </c>
      <c r="G19">
        <v>84</v>
      </c>
      <c r="H19">
        <v>65</v>
      </c>
      <c r="I19">
        <v>91</v>
      </c>
      <c r="J19">
        <v>2.84</v>
      </c>
      <c r="K19">
        <v>2.92</v>
      </c>
      <c r="L19">
        <f t="shared" si="0"/>
        <v>71</v>
      </c>
      <c r="M19" t="str">
        <f t="shared" si="1"/>
        <v>D</v>
      </c>
      <c r="N19" s="3">
        <f t="shared" si="2"/>
        <v>497</v>
      </c>
      <c r="O19">
        <f t="shared" si="3"/>
        <v>71</v>
      </c>
    </row>
    <row r="20" spans="1:15">
      <c r="A20" t="s">
        <v>51</v>
      </c>
      <c r="B20" t="s">
        <v>52</v>
      </c>
      <c r="C20">
        <v>59</v>
      </c>
      <c r="D20">
        <v>60</v>
      </c>
      <c r="E20">
        <v>80</v>
      </c>
      <c r="F20">
        <v>65</v>
      </c>
      <c r="G20">
        <v>56</v>
      </c>
      <c r="H20">
        <v>57</v>
      </c>
      <c r="I20">
        <v>64</v>
      </c>
      <c r="J20">
        <v>2.52</v>
      </c>
      <c r="K20">
        <v>2.64</v>
      </c>
      <c r="L20">
        <f t="shared" si="0"/>
        <v>63</v>
      </c>
      <c r="M20" t="str">
        <f t="shared" si="1"/>
        <v>D</v>
      </c>
      <c r="N20" s="3">
        <f t="shared" si="2"/>
        <v>441</v>
      </c>
      <c r="O20">
        <f t="shared" si="3"/>
        <v>63</v>
      </c>
    </row>
    <row r="21" spans="1:15">
      <c r="A21" t="s">
        <v>53</v>
      </c>
      <c r="B21" t="s">
        <v>54</v>
      </c>
      <c r="C21">
        <v>68</v>
      </c>
      <c r="D21">
        <v>78</v>
      </c>
      <c r="E21">
        <v>98</v>
      </c>
      <c r="F21">
        <v>98</v>
      </c>
      <c r="G21">
        <v>68</v>
      </c>
      <c r="H21">
        <v>85</v>
      </c>
      <c r="I21">
        <v>95</v>
      </c>
      <c r="J21">
        <v>3.37</v>
      </c>
      <c r="K21">
        <v>3.57</v>
      </c>
      <c r="L21">
        <f t="shared" si="0"/>
        <v>84.285714285714306</v>
      </c>
      <c r="M21" t="str">
        <f t="shared" si="1"/>
        <v>C</v>
      </c>
      <c r="N21" s="3">
        <f t="shared" si="2"/>
        <v>590</v>
      </c>
      <c r="O21">
        <f t="shared" si="3"/>
        <v>84.285714285714306</v>
      </c>
    </row>
    <row r="22" spans="1:15">
      <c r="A22" t="s">
        <v>55</v>
      </c>
      <c r="B22" t="s">
        <v>56</v>
      </c>
      <c r="C22">
        <v>51</v>
      </c>
      <c r="D22">
        <v>82</v>
      </c>
      <c r="E22">
        <v>95</v>
      </c>
      <c r="F22">
        <v>84</v>
      </c>
      <c r="G22">
        <v>67</v>
      </c>
      <c r="H22">
        <v>66</v>
      </c>
      <c r="I22">
        <v>76</v>
      </c>
      <c r="J22">
        <v>2.98</v>
      </c>
      <c r="K22">
        <v>2.87</v>
      </c>
      <c r="L22">
        <f t="shared" si="0"/>
        <v>74.428571428571402</v>
      </c>
      <c r="M22" t="str">
        <f t="shared" si="1"/>
        <v>D</v>
      </c>
      <c r="N22" s="3">
        <f t="shared" si="2"/>
        <v>521</v>
      </c>
      <c r="O22">
        <f t="shared" si="3"/>
        <v>74.428571428571402</v>
      </c>
    </row>
    <row r="23" spans="1:15">
      <c r="A23" t="s">
        <v>57</v>
      </c>
      <c r="B23" t="s">
        <v>58</v>
      </c>
      <c r="C23">
        <v>92</v>
      </c>
      <c r="D23">
        <v>66</v>
      </c>
      <c r="E23">
        <v>55</v>
      </c>
      <c r="F23">
        <v>84</v>
      </c>
      <c r="G23">
        <v>57</v>
      </c>
      <c r="H23">
        <v>87</v>
      </c>
      <c r="I23">
        <v>56</v>
      </c>
      <c r="J23">
        <v>2.84</v>
      </c>
      <c r="K23">
        <v>2.75</v>
      </c>
      <c r="L23">
        <f t="shared" si="0"/>
        <v>71</v>
      </c>
      <c r="M23" t="str">
        <f t="shared" si="1"/>
        <v>A</v>
      </c>
      <c r="N23" s="3">
        <f t="shared" si="2"/>
        <v>497</v>
      </c>
      <c r="O23">
        <f t="shared" si="3"/>
        <v>71</v>
      </c>
    </row>
    <row r="24" spans="1:15">
      <c r="A24" t="s">
        <v>59</v>
      </c>
      <c r="B24" t="s">
        <v>60</v>
      </c>
      <c r="C24">
        <v>54</v>
      </c>
      <c r="D24">
        <v>76</v>
      </c>
      <c r="E24">
        <v>51</v>
      </c>
      <c r="F24">
        <v>60</v>
      </c>
      <c r="G24">
        <v>95</v>
      </c>
      <c r="H24">
        <v>83</v>
      </c>
      <c r="I24">
        <v>80</v>
      </c>
      <c r="J24">
        <v>2.85</v>
      </c>
      <c r="K24">
        <v>2.88</v>
      </c>
      <c r="L24">
        <f t="shared" si="0"/>
        <v>71.285714285714306</v>
      </c>
      <c r="M24" t="str">
        <f t="shared" si="1"/>
        <v>D</v>
      </c>
      <c r="N24" s="3">
        <f t="shared" si="2"/>
        <v>499</v>
      </c>
      <c r="O24">
        <f t="shared" si="3"/>
        <v>71.285714285714306</v>
      </c>
    </row>
    <row r="25" spans="1:15">
      <c r="A25" t="s">
        <v>61</v>
      </c>
      <c r="B25" t="s">
        <v>62</v>
      </c>
      <c r="C25">
        <v>68</v>
      </c>
      <c r="D25">
        <v>94</v>
      </c>
      <c r="E25">
        <v>96</v>
      </c>
      <c r="F25">
        <v>65</v>
      </c>
      <c r="G25">
        <v>61</v>
      </c>
      <c r="H25">
        <v>59</v>
      </c>
      <c r="I25">
        <v>51</v>
      </c>
      <c r="J25">
        <v>2.82</v>
      </c>
      <c r="K25">
        <v>2.69</v>
      </c>
      <c r="L25">
        <f t="shared" si="0"/>
        <v>70.571428571428598</v>
      </c>
      <c r="M25" t="str">
        <f t="shared" si="1"/>
        <v>C</v>
      </c>
      <c r="N25" s="3">
        <f t="shared" si="2"/>
        <v>494</v>
      </c>
      <c r="O25">
        <f t="shared" si="3"/>
        <v>70.571428571428598</v>
      </c>
    </row>
    <row r="26" spans="1:15">
      <c r="A26" t="s">
        <v>63</v>
      </c>
      <c r="B26" t="s">
        <v>64</v>
      </c>
      <c r="C26">
        <v>97</v>
      </c>
      <c r="D26">
        <v>95</v>
      </c>
      <c r="E26">
        <v>88</v>
      </c>
      <c r="F26">
        <v>82</v>
      </c>
      <c r="G26">
        <v>52</v>
      </c>
      <c r="H26">
        <v>100</v>
      </c>
      <c r="I26">
        <v>73</v>
      </c>
      <c r="J26">
        <v>3.35</v>
      </c>
      <c r="K26">
        <v>3.53</v>
      </c>
      <c r="L26">
        <f t="shared" si="0"/>
        <v>83.857142857142804</v>
      </c>
      <c r="M26" t="str">
        <f t="shared" si="1"/>
        <v>A</v>
      </c>
      <c r="N26" s="3">
        <f t="shared" si="2"/>
        <v>587</v>
      </c>
      <c r="O26">
        <f t="shared" si="3"/>
        <v>83.857142857142904</v>
      </c>
    </row>
    <row r="27" spans="1:15">
      <c r="A27" t="s">
        <v>65</v>
      </c>
      <c r="B27" t="s">
        <v>66</v>
      </c>
      <c r="C27">
        <v>58</v>
      </c>
      <c r="D27">
        <v>95</v>
      </c>
      <c r="E27">
        <v>88</v>
      </c>
      <c r="F27">
        <v>74</v>
      </c>
      <c r="G27">
        <v>83</v>
      </c>
      <c r="H27">
        <v>66</v>
      </c>
      <c r="I27">
        <v>59</v>
      </c>
      <c r="J27">
        <v>2.99</v>
      </c>
      <c r="K27">
        <v>2.98</v>
      </c>
      <c r="L27">
        <f t="shared" si="0"/>
        <v>74.714285714285694</v>
      </c>
      <c r="M27" t="str">
        <f t="shared" si="1"/>
        <v>D</v>
      </c>
      <c r="N27" s="3">
        <f t="shared" si="2"/>
        <v>523</v>
      </c>
      <c r="O27">
        <f t="shared" si="3"/>
        <v>74.714285714285694</v>
      </c>
    </row>
    <row r="28" spans="1:15">
      <c r="A28" t="s">
        <v>67</v>
      </c>
      <c r="B28" t="s">
        <v>68</v>
      </c>
      <c r="C28">
        <v>56</v>
      </c>
      <c r="D28">
        <v>78</v>
      </c>
      <c r="E28">
        <v>55</v>
      </c>
      <c r="F28">
        <v>63</v>
      </c>
      <c r="G28">
        <v>64</v>
      </c>
      <c r="H28">
        <v>57</v>
      </c>
      <c r="I28">
        <v>51</v>
      </c>
      <c r="J28">
        <v>2.42</v>
      </c>
      <c r="K28">
        <v>2.41</v>
      </c>
      <c r="L28">
        <f t="shared" si="0"/>
        <v>60.571428571428598</v>
      </c>
      <c r="M28" t="str">
        <f t="shared" si="1"/>
        <v>D</v>
      </c>
      <c r="N28" s="3">
        <f t="shared" si="2"/>
        <v>424</v>
      </c>
      <c r="O28">
        <f t="shared" si="3"/>
        <v>60.571428571428598</v>
      </c>
    </row>
    <row r="29" spans="1:15">
      <c r="A29" t="s">
        <v>69</v>
      </c>
      <c r="B29" t="s">
        <v>70</v>
      </c>
      <c r="C29">
        <v>52</v>
      </c>
      <c r="D29">
        <v>50</v>
      </c>
      <c r="E29">
        <v>68</v>
      </c>
      <c r="F29">
        <v>81</v>
      </c>
      <c r="G29">
        <v>75</v>
      </c>
      <c r="H29">
        <v>96</v>
      </c>
      <c r="I29">
        <v>99</v>
      </c>
      <c r="J29">
        <v>2.98</v>
      </c>
      <c r="K29">
        <v>3.17</v>
      </c>
      <c r="L29">
        <f t="shared" si="0"/>
        <v>74.428571428571402</v>
      </c>
      <c r="M29" t="str">
        <f t="shared" si="1"/>
        <v>D</v>
      </c>
      <c r="N29" s="3">
        <f t="shared" si="2"/>
        <v>521</v>
      </c>
      <c r="O29">
        <f t="shared" si="3"/>
        <v>74.428571428571402</v>
      </c>
    </row>
    <row r="30" spans="1:15">
      <c r="A30" t="s">
        <v>71</v>
      </c>
      <c r="B30" t="s">
        <v>72</v>
      </c>
      <c r="C30">
        <v>58</v>
      </c>
      <c r="D30">
        <v>62</v>
      </c>
      <c r="E30">
        <v>97</v>
      </c>
      <c r="F30">
        <v>78</v>
      </c>
      <c r="G30">
        <v>97</v>
      </c>
      <c r="H30">
        <v>88</v>
      </c>
      <c r="I30">
        <v>63</v>
      </c>
      <c r="J30">
        <v>3.1</v>
      </c>
      <c r="K30">
        <v>3.06</v>
      </c>
      <c r="L30">
        <f t="shared" si="0"/>
        <v>77.571428571428598</v>
      </c>
      <c r="M30" t="str">
        <f t="shared" si="1"/>
        <v>D</v>
      </c>
      <c r="N30" s="3">
        <f t="shared" si="2"/>
        <v>543</v>
      </c>
      <c r="O30">
        <f t="shared" si="3"/>
        <v>77.571428571428598</v>
      </c>
    </row>
    <row r="31" spans="1:15">
      <c r="A31" t="s">
        <v>73</v>
      </c>
      <c r="B31" t="s">
        <v>74</v>
      </c>
      <c r="C31">
        <v>78</v>
      </c>
      <c r="D31">
        <v>99</v>
      </c>
      <c r="E31">
        <v>61</v>
      </c>
      <c r="F31">
        <v>57</v>
      </c>
      <c r="G31">
        <v>72</v>
      </c>
      <c r="H31">
        <v>80</v>
      </c>
      <c r="I31">
        <v>50</v>
      </c>
      <c r="J31">
        <v>2.84</v>
      </c>
      <c r="K31">
        <v>2.81</v>
      </c>
      <c r="L31">
        <f t="shared" si="0"/>
        <v>71</v>
      </c>
      <c r="M31" t="str">
        <f t="shared" si="1"/>
        <v>B</v>
      </c>
      <c r="N31" s="3">
        <f t="shared" si="2"/>
        <v>497</v>
      </c>
      <c r="O31">
        <f t="shared" si="3"/>
        <v>71</v>
      </c>
    </row>
    <row r="32" spans="1:15">
      <c r="A32" t="s">
        <v>75</v>
      </c>
      <c r="B32" t="s">
        <v>76</v>
      </c>
      <c r="C32">
        <v>84</v>
      </c>
      <c r="D32">
        <v>97</v>
      </c>
      <c r="E32">
        <v>91</v>
      </c>
      <c r="F32">
        <v>71</v>
      </c>
      <c r="G32">
        <v>50</v>
      </c>
      <c r="H32">
        <v>62</v>
      </c>
      <c r="I32">
        <v>60</v>
      </c>
      <c r="J32">
        <v>2.94</v>
      </c>
      <c r="K32">
        <v>3.03</v>
      </c>
      <c r="L32">
        <f t="shared" si="0"/>
        <v>73.571428571428598</v>
      </c>
      <c r="M32" t="str">
        <f t="shared" si="1"/>
        <v>A</v>
      </c>
      <c r="N32" s="3">
        <f t="shared" si="2"/>
        <v>515</v>
      </c>
      <c r="O32">
        <f t="shared" si="3"/>
        <v>73.571428571428598</v>
      </c>
    </row>
    <row r="33" spans="1:15">
      <c r="A33" t="s">
        <v>77</v>
      </c>
      <c r="B33" t="s">
        <v>78</v>
      </c>
      <c r="C33">
        <v>84</v>
      </c>
      <c r="D33">
        <v>83</v>
      </c>
      <c r="E33">
        <v>56</v>
      </c>
      <c r="F33">
        <v>75</v>
      </c>
      <c r="G33">
        <v>52</v>
      </c>
      <c r="H33">
        <v>94</v>
      </c>
      <c r="I33">
        <v>83</v>
      </c>
      <c r="J33">
        <v>3.01</v>
      </c>
      <c r="K33">
        <v>3.07</v>
      </c>
      <c r="L33">
        <f t="shared" si="0"/>
        <v>75.285714285714306</v>
      </c>
      <c r="M33" t="str">
        <f t="shared" si="1"/>
        <v>A</v>
      </c>
      <c r="N33" s="3">
        <f t="shared" si="2"/>
        <v>527</v>
      </c>
      <c r="O33">
        <f t="shared" si="3"/>
        <v>75.285714285714306</v>
      </c>
    </row>
    <row r="34" spans="1:15">
      <c r="A34" t="s">
        <v>79</v>
      </c>
      <c r="B34" t="s">
        <v>80</v>
      </c>
      <c r="C34">
        <v>93</v>
      </c>
      <c r="D34">
        <v>98</v>
      </c>
      <c r="E34">
        <v>51</v>
      </c>
      <c r="F34">
        <v>79</v>
      </c>
      <c r="G34">
        <v>83</v>
      </c>
      <c r="H34">
        <v>65</v>
      </c>
      <c r="I34">
        <v>89</v>
      </c>
      <c r="J34">
        <v>3.19</v>
      </c>
      <c r="K34">
        <v>3.06</v>
      </c>
      <c r="L34">
        <f t="shared" si="0"/>
        <v>79.714285714285694</v>
      </c>
      <c r="M34" t="str">
        <f t="shared" si="1"/>
        <v>A</v>
      </c>
      <c r="N34" s="3">
        <f t="shared" si="2"/>
        <v>558</v>
      </c>
      <c r="O34">
        <f t="shared" si="3"/>
        <v>79.714285714285694</v>
      </c>
    </row>
    <row r="35" spans="1:15">
      <c r="A35" t="s">
        <v>81</v>
      </c>
      <c r="B35" t="s">
        <v>82</v>
      </c>
      <c r="C35">
        <v>93</v>
      </c>
      <c r="D35">
        <v>99</v>
      </c>
      <c r="E35">
        <v>100</v>
      </c>
      <c r="F35">
        <v>69</v>
      </c>
      <c r="G35">
        <v>77</v>
      </c>
      <c r="H35">
        <v>92</v>
      </c>
      <c r="I35">
        <v>99</v>
      </c>
      <c r="J35">
        <v>3.59</v>
      </c>
      <c r="K35">
        <v>3.51</v>
      </c>
      <c r="L35">
        <f t="shared" ref="L35:L66" si="4">N35/700*100</f>
        <v>89.857142857142904</v>
      </c>
      <c r="M35" t="str">
        <f t="shared" ref="M35:M66" si="5">IF(C35&gt;=80,"A",IF(C35&gt;=70,"B",IF(C35&gt;=60,"C",IF(C35&gt;=50,"D","F"))))</f>
        <v>A</v>
      </c>
      <c r="N35" s="3">
        <f t="shared" ref="N35:N66" si="6">C35+D35+E35+F35+G35+H35+I35</f>
        <v>629</v>
      </c>
      <c r="O35">
        <f t="shared" ref="O35:O66" si="7">AVERAGE(C35:I35)</f>
        <v>89.857142857142904</v>
      </c>
    </row>
    <row r="36" spans="1:15">
      <c r="A36" t="s">
        <v>83</v>
      </c>
      <c r="B36" t="s">
        <v>84</v>
      </c>
      <c r="C36">
        <v>98</v>
      </c>
      <c r="D36">
        <v>97</v>
      </c>
      <c r="E36">
        <v>79</v>
      </c>
      <c r="F36">
        <v>90</v>
      </c>
      <c r="G36">
        <v>69</v>
      </c>
      <c r="H36">
        <v>96</v>
      </c>
      <c r="I36">
        <v>98</v>
      </c>
      <c r="J36">
        <v>3.58</v>
      </c>
      <c r="K36">
        <v>3.68</v>
      </c>
      <c r="L36">
        <f t="shared" si="4"/>
        <v>89.571428571428598</v>
      </c>
      <c r="M36" t="str">
        <f t="shared" si="5"/>
        <v>A</v>
      </c>
      <c r="N36" s="3">
        <f t="shared" si="6"/>
        <v>627</v>
      </c>
      <c r="O36">
        <f t="shared" si="7"/>
        <v>89.571428571428598</v>
      </c>
    </row>
    <row r="37" spans="1:15">
      <c r="A37" t="s">
        <v>85</v>
      </c>
      <c r="B37" t="s">
        <v>86</v>
      </c>
      <c r="C37">
        <v>87</v>
      </c>
      <c r="D37">
        <v>84</v>
      </c>
      <c r="E37">
        <v>76</v>
      </c>
      <c r="F37">
        <v>58</v>
      </c>
      <c r="G37">
        <v>55</v>
      </c>
      <c r="H37">
        <v>50</v>
      </c>
      <c r="I37">
        <v>71</v>
      </c>
      <c r="J37">
        <v>2.75</v>
      </c>
      <c r="K37">
        <v>2.6</v>
      </c>
      <c r="L37">
        <f t="shared" si="4"/>
        <v>68.714285714285694</v>
      </c>
      <c r="M37" t="str">
        <f t="shared" si="5"/>
        <v>A</v>
      </c>
      <c r="N37" s="3">
        <f t="shared" si="6"/>
        <v>481</v>
      </c>
      <c r="O37">
        <f t="shared" si="7"/>
        <v>68.714285714285694</v>
      </c>
    </row>
    <row r="38" spans="1:15">
      <c r="A38" t="s">
        <v>87</v>
      </c>
      <c r="B38" t="s">
        <v>88</v>
      </c>
      <c r="C38">
        <v>55</v>
      </c>
      <c r="D38">
        <v>81</v>
      </c>
      <c r="E38">
        <v>83</v>
      </c>
      <c r="F38">
        <v>55</v>
      </c>
      <c r="G38">
        <v>67</v>
      </c>
      <c r="H38">
        <v>86</v>
      </c>
      <c r="I38">
        <v>58</v>
      </c>
      <c r="J38">
        <v>2.77</v>
      </c>
      <c r="K38">
        <v>2.91</v>
      </c>
      <c r="L38">
        <f t="shared" si="4"/>
        <v>69.285714285714306</v>
      </c>
      <c r="M38" t="str">
        <f t="shared" si="5"/>
        <v>D</v>
      </c>
      <c r="N38" s="3">
        <f t="shared" si="6"/>
        <v>485</v>
      </c>
      <c r="O38">
        <f t="shared" si="7"/>
        <v>69.285714285714306</v>
      </c>
    </row>
    <row r="39" spans="1:15">
      <c r="A39" t="s">
        <v>89</v>
      </c>
      <c r="B39" t="s">
        <v>90</v>
      </c>
      <c r="C39">
        <v>67</v>
      </c>
      <c r="D39">
        <v>59</v>
      </c>
      <c r="E39">
        <v>68</v>
      </c>
      <c r="F39">
        <v>53</v>
      </c>
      <c r="G39">
        <v>69</v>
      </c>
      <c r="H39">
        <v>97</v>
      </c>
      <c r="I39">
        <v>85</v>
      </c>
      <c r="J39">
        <v>2.85</v>
      </c>
      <c r="K39">
        <v>2.68</v>
      </c>
      <c r="L39">
        <f t="shared" si="4"/>
        <v>71.142857142857096</v>
      </c>
      <c r="M39" t="str">
        <f t="shared" si="5"/>
        <v>C</v>
      </c>
      <c r="N39" s="3">
        <f t="shared" si="6"/>
        <v>498</v>
      </c>
      <c r="O39">
        <f t="shared" si="7"/>
        <v>71.142857142857096</v>
      </c>
    </row>
    <row r="40" spans="1:15">
      <c r="A40" t="s">
        <v>91</v>
      </c>
      <c r="B40" t="s">
        <v>92</v>
      </c>
      <c r="C40">
        <v>89</v>
      </c>
      <c r="D40">
        <v>95</v>
      </c>
      <c r="E40">
        <v>79</v>
      </c>
      <c r="F40">
        <v>57</v>
      </c>
      <c r="G40">
        <v>50</v>
      </c>
      <c r="H40">
        <v>56</v>
      </c>
      <c r="I40">
        <v>98</v>
      </c>
      <c r="J40">
        <v>2.99</v>
      </c>
      <c r="K40">
        <v>3.11</v>
      </c>
      <c r="L40">
        <f t="shared" si="4"/>
        <v>74.857142857142904</v>
      </c>
      <c r="M40" t="str">
        <f t="shared" si="5"/>
        <v>A</v>
      </c>
      <c r="N40" s="3">
        <f t="shared" si="6"/>
        <v>524</v>
      </c>
      <c r="O40">
        <f t="shared" si="7"/>
        <v>74.857142857142904</v>
      </c>
    </row>
    <row r="41" spans="1:15">
      <c r="A41" t="s">
        <v>93</v>
      </c>
      <c r="B41" t="s">
        <v>94</v>
      </c>
      <c r="C41">
        <v>65</v>
      </c>
      <c r="D41">
        <v>82</v>
      </c>
      <c r="E41">
        <v>72</v>
      </c>
      <c r="F41">
        <v>53</v>
      </c>
      <c r="G41">
        <v>75</v>
      </c>
      <c r="H41">
        <v>68</v>
      </c>
      <c r="I41">
        <v>77</v>
      </c>
      <c r="J41">
        <v>2.81</v>
      </c>
      <c r="K41">
        <v>2.87</v>
      </c>
      <c r="L41">
        <f t="shared" si="4"/>
        <v>70.285714285714306</v>
      </c>
      <c r="M41" t="str">
        <f t="shared" si="5"/>
        <v>C</v>
      </c>
      <c r="N41" s="3">
        <f t="shared" si="6"/>
        <v>492</v>
      </c>
      <c r="O41">
        <f t="shared" si="7"/>
        <v>70.285714285714306</v>
      </c>
    </row>
    <row r="42" spans="1:15">
      <c r="A42" t="s">
        <v>95</v>
      </c>
      <c r="B42" t="s">
        <v>96</v>
      </c>
      <c r="C42">
        <v>52</v>
      </c>
      <c r="D42">
        <v>63</v>
      </c>
      <c r="E42">
        <v>76</v>
      </c>
      <c r="F42">
        <v>61</v>
      </c>
      <c r="G42">
        <v>90</v>
      </c>
      <c r="H42">
        <v>67</v>
      </c>
      <c r="I42">
        <v>87</v>
      </c>
      <c r="J42">
        <v>2.83</v>
      </c>
      <c r="K42">
        <v>2.95</v>
      </c>
      <c r="L42">
        <f t="shared" si="4"/>
        <v>70.857142857142804</v>
      </c>
      <c r="M42" t="str">
        <f t="shared" si="5"/>
        <v>D</v>
      </c>
      <c r="N42" s="3">
        <f t="shared" si="6"/>
        <v>496</v>
      </c>
      <c r="O42">
        <f t="shared" si="7"/>
        <v>70.857142857142904</v>
      </c>
    </row>
    <row r="43" spans="1:15">
      <c r="A43" t="s">
        <v>97</v>
      </c>
      <c r="B43" t="s">
        <v>98</v>
      </c>
      <c r="C43">
        <v>79</v>
      </c>
      <c r="D43">
        <v>62</v>
      </c>
      <c r="E43">
        <v>69</v>
      </c>
      <c r="F43">
        <v>72</v>
      </c>
      <c r="G43">
        <v>59</v>
      </c>
      <c r="H43">
        <v>61</v>
      </c>
      <c r="I43">
        <v>63</v>
      </c>
      <c r="J43">
        <v>2.66</v>
      </c>
      <c r="K43">
        <v>2.68</v>
      </c>
      <c r="L43">
        <f t="shared" si="4"/>
        <v>66.428571428571402</v>
      </c>
      <c r="M43" t="str">
        <f t="shared" si="5"/>
        <v>B</v>
      </c>
      <c r="N43" s="3">
        <f t="shared" si="6"/>
        <v>465</v>
      </c>
      <c r="O43">
        <f t="shared" si="7"/>
        <v>66.428571428571402</v>
      </c>
    </row>
    <row r="44" spans="1:15">
      <c r="A44" t="s">
        <v>99</v>
      </c>
      <c r="B44" t="s">
        <v>100</v>
      </c>
      <c r="C44">
        <v>97</v>
      </c>
      <c r="D44">
        <v>88</v>
      </c>
      <c r="E44">
        <v>56</v>
      </c>
      <c r="F44">
        <v>56</v>
      </c>
      <c r="G44">
        <v>92</v>
      </c>
      <c r="H44">
        <v>86</v>
      </c>
      <c r="I44">
        <v>63</v>
      </c>
      <c r="J44">
        <v>3.07</v>
      </c>
      <c r="K44">
        <v>3.03</v>
      </c>
      <c r="L44">
        <f t="shared" si="4"/>
        <v>76.857142857142904</v>
      </c>
      <c r="M44" t="str">
        <f t="shared" si="5"/>
        <v>A</v>
      </c>
      <c r="N44" s="3">
        <f t="shared" si="6"/>
        <v>538</v>
      </c>
      <c r="O44">
        <f t="shared" si="7"/>
        <v>76.857142857142904</v>
      </c>
    </row>
    <row r="45" spans="1:15">
      <c r="A45" t="s">
        <v>101</v>
      </c>
      <c r="B45" t="s">
        <v>102</v>
      </c>
      <c r="C45">
        <v>58</v>
      </c>
      <c r="D45">
        <v>86</v>
      </c>
      <c r="E45">
        <v>90</v>
      </c>
      <c r="F45">
        <v>76</v>
      </c>
      <c r="G45">
        <v>86</v>
      </c>
      <c r="H45">
        <v>64</v>
      </c>
      <c r="I45">
        <v>57</v>
      </c>
      <c r="J45">
        <v>2.95</v>
      </c>
      <c r="K45">
        <v>2.88</v>
      </c>
      <c r="L45">
        <f t="shared" si="4"/>
        <v>73.857142857142904</v>
      </c>
      <c r="M45" t="str">
        <f t="shared" si="5"/>
        <v>D</v>
      </c>
      <c r="N45" s="3">
        <f t="shared" si="6"/>
        <v>517</v>
      </c>
      <c r="O45">
        <f t="shared" si="7"/>
        <v>73.857142857142904</v>
      </c>
    </row>
    <row r="46" spans="1:15">
      <c r="A46" t="s">
        <v>103</v>
      </c>
      <c r="B46" t="s">
        <v>104</v>
      </c>
      <c r="C46">
        <v>77</v>
      </c>
      <c r="D46">
        <v>82</v>
      </c>
      <c r="E46">
        <v>62</v>
      </c>
      <c r="F46">
        <v>97</v>
      </c>
      <c r="G46">
        <v>100</v>
      </c>
      <c r="H46">
        <v>85</v>
      </c>
      <c r="I46">
        <v>61</v>
      </c>
      <c r="J46">
        <v>3.22</v>
      </c>
      <c r="K46">
        <v>3.42</v>
      </c>
      <c r="L46">
        <f t="shared" si="4"/>
        <v>80.571428571428598</v>
      </c>
      <c r="M46" t="str">
        <f t="shared" si="5"/>
        <v>B</v>
      </c>
      <c r="N46" s="3">
        <f t="shared" si="6"/>
        <v>564</v>
      </c>
      <c r="O46">
        <f t="shared" si="7"/>
        <v>80.571428571428598</v>
      </c>
    </row>
    <row r="47" spans="1:15">
      <c r="A47" t="s">
        <v>105</v>
      </c>
      <c r="B47" t="s">
        <v>106</v>
      </c>
      <c r="C47">
        <v>85</v>
      </c>
      <c r="D47">
        <v>50</v>
      </c>
      <c r="E47">
        <v>64</v>
      </c>
      <c r="F47">
        <v>82</v>
      </c>
      <c r="G47">
        <v>94</v>
      </c>
      <c r="H47">
        <v>77</v>
      </c>
      <c r="I47">
        <v>53</v>
      </c>
      <c r="J47">
        <v>2.89</v>
      </c>
      <c r="K47">
        <v>2.88</v>
      </c>
      <c r="L47">
        <f t="shared" si="4"/>
        <v>72.142857142857096</v>
      </c>
      <c r="M47" t="str">
        <f t="shared" si="5"/>
        <v>A</v>
      </c>
      <c r="N47" s="3">
        <f t="shared" si="6"/>
        <v>505</v>
      </c>
      <c r="O47">
        <f t="shared" si="7"/>
        <v>72.142857142857096</v>
      </c>
    </row>
    <row r="48" spans="1:15">
      <c r="A48" t="s">
        <v>107</v>
      </c>
      <c r="B48" t="s">
        <v>108</v>
      </c>
      <c r="C48">
        <v>91</v>
      </c>
      <c r="D48">
        <v>76</v>
      </c>
      <c r="E48">
        <v>56</v>
      </c>
      <c r="F48">
        <v>64</v>
      </c>
      <c r="G48">
        <v>97</v>
      </c>
      <c r="H48">
        <v>65</v>
      </c>
      <c r="I48">
        <v>97</v>
      </c>
      <c r="J48">
        <v>3.12</v>
      </c>
      <c r="K48">
        <v>3.04</v>
      </c>
      <c r="L48">
        <f t="shared" si="4"/>
        <v>78</v>
      </c>
      <c r="M48" t="str">
        <f t="shared" si="5"/>
        <v>A</v>
      </c>
      <c r="N48" s="3">
        <f t="shared" si="6"/>
        <v>546</v>
      </c>
      <c r="O48">
        <f t="shared" si="7"/>
        <v>78</v>
      </c>
    </row>
    <row r="49" spans="1:15">
      <c r="A49" t="s">
        <v>109</v>
      </c>
      <c r="B49" t="s">
        <v>110</v>
      </c>
      <c r="C49">
        <v>67</v>
      </c>
      <c r="D49">
        <v>87</v>
      </c>
      <c r="E49">
        <v>94</v>
      </c>
      <c r="F49">
        <v>69</v>
      </c>
      <c r="G49">
        <v>74</v>
      </c>
      <c r="H49">
        <v>72</v>
      </c>
      <c r="I49">
        <v>74</v>
      </c>
      <c r="J49">
        <v>3.07</v>
      </c>
      <c r="K49">
        <v>2.95</v>
      </c>
      <c r="L49">
        <f t="shared" si="4"/>
        <v>76.714285714285694</v>
      </c>
      <c r="M49" t="str">
        <f t="shared" si="5"/>
        <v>C</v>
      </c>
      <c r="N49" s="3">
        <f t="shared" si="6"/>
        <v>537</v>
      </c>
      <c r="O49">
        <f t="shared" si="7"/>
        <v>76.714285714285694</v>
      </c>
    </row>
    <row r="50" spans="1:15">
      <c r="A50" t="s">
        <v>111</v>
      </c>
      <c r="B50" t="s">
        <v>112</v>
      </c>
      <c r="C50">
        <v>92</v>
      </c>
      <c r="D50">
        <v>75</v>
      </c>
      <c r="E50">
        <v>94</v>
      </c>
      <c r="F50">
        <v>95</v>
      </c>
      <c r="G50">
        <v>97</v>
      </c>
      <c r="H50">
        <v>87</v>
      </c>
      <c r="I50">
        <v>77</v>
      </c>
      <c r="J50">
        <v>3.53</v>
      </c>
      <c r="K50">
        <v>3.63</v>
      </c>
      <c r="L50">
        <f t="shared" si="4"/>
        <v>88.142857142857096</v>
      </c>
      <c r="M50" t="str">
        <f t="shared" si="5"/>
        <v>A</v>
      </c>
      <c r="N50" s="3">
        <f t="shared" si="6"/>
        <v>617</v>
      </c>
      <c r="O50">
        <f t="shared" si="7"/>
        <v>88.142857142857096</v>
      </c>
    </row>
    <row r="51" spans="1:15">
      <c r="A51" t="s">
        <v>113</v>
      </c>
      <c r="B51" t="s">
        <v>114</v>
      </c>
      <c r="C51">
        <v>79</v>
      </c>
      <c r="D51">
        <v>79</v>
      </c>
      <c r="E51">
        <v>51</v>
      </c>
      <c r="F51">
        <v>84</v>
      </c>
      <c r="G51">
        <v>100</v>
      </c>
      <c r="H51">
        <v>75</v>
      </c>
      <c r="I51">
        <v>94</v>
      </c>
      <c r="J51">
        <v>3.21</v>
      </c>
      <c r="K51">
        <v>3.32</v>
      </c>
      <c r="L51">
        <f t="shared" si="4"/>
        <v>80.285714285714306</v>
      </c>
      <c r="M51" t="str">
        <f t="shared" si="5"/>
        <v>B</v>
      </c>
      <c r="N51" s="3">
        <f t="shared" si="6"/>
        <v>562</v>
      </c>
      <c r="O51">
        <f t="shared" si="7"/>
        <v>80.285714285714306</v>
      </c>
    </row>
    <row r="52" spans="1:15">
      <c r="A52" t="s">
        <v>115</v>
      </c>
      <c r="B52" t="s">
        <v>116</v>
      </c>
      <c r="C52">
        <v>72</v>
      </c>
      <c r="D52">
        <v>66</v>
      </c>
      <c r="E52">
        <v>57</v>
      </c>
      <c r="F52">
        <v>83</v>
      </c>
      <c r="G52">
        <v>82</v>
      </c>
      <c r="H52">
        <v>74</v>
      </c>
      <c r="I52">
        <v>92</v>
      </c>
      <c r="J52">
        <v>3.01</v>
      </c>
      <c r="K52">
        <v>2.98</v>
      </c>
      <c r="L52">
        <f t="shared" si="4"/>
        <v>75.142857142857096</v>
      </c>
      <c r="M52" t="str">
        <f t="shared" si="5"/>
        <v>B</v>
      </c>
      <c r="N52" s="3">
        <f t="shared" si="6"/>
        <v>526</v>
      </c>
      <c r="O52">
        <f t="shared" si="7"/>
        <v>75.142857142857096</v>
      </c>
    </row>
    <row r="53" spans="1:15">
      <c r="A53" t="s">
        <v>117</v>
      </c>
      <c r="B53" t="s">
        <v>118</v>
      </c>
      <c r="C53">
        <v>63</v>
      </c>
      <c r="D53">
        <v>58</v>
      </c>
      <c r="E53">
        <v>98</v>
      </c>
      <c r="F53">
        <v>80</v>
      </c>
      <c r="G53">
        <v>78</v>
      </c>
      <c r="H53">
        <v>90</v>
      </c>
      <c r="I53">
        <v>86</v>
      </c>
      <c r="J53">
        <v>3.16</v>
      </c>
      <c r="K53">
        <v>3.21</v>
      </c>
      <c r="L53">
        <f t="shared" si="4"/>
        <v>79</v>
      </c>
      <c r="M53" t="str">
        <f t="shared" si="5"/>
        <v>C</v>
      </c>
      <c r="N53" s="3">
        <f t="shared" si="6"/>
        <v>553</v>
      </c>
      <c r="O53">
        <f t="shared" si="7"/>
        <v>79</v>
      </c>
    </row>
    <row r="54" spans="1:15">
      <c r="A54" t="s">
        <v>119</v>
      </c>
      <c r="B54" t="s">
        <v>120</v>
      </c>
      <c r="C54">
        <v>78</v>
      </c>
      <c r="D54">
        <v>70</v>
      </c>
      <c r="E54">
        <v>76</v>
      </c>
      <c r="F54">
        <v>96</v>
      </c>
      <c r="G54">
        <v>51</v>
      </c>
      <c r="H54">
        <v>50</v>
      </c>
      <c r="I54">
        <v>69</v>
      </c>
      <c r="J54">
        <v>2.8</v>
      </c>
      <c r="K54">
        <v>2.83</v>
      </c>
      <c r="L54">
        <f t="shared" si="4"/>
        <v>70</v>
      </c>
      <c r="M54" t="str">
        <f t="shared" si="5"/>
        <v>B</v>
      </c>
      <c r="N54" s="3">
        <f t="shared" si="6"/>
        <v>490</v>
      </c>
      <c r="O54">
        <f t="shared" si="7"/>
        <v>70</v>
      </c>
    </row>
    <row r="55" spans="1:15">
      <c r="A55" t="s">
        <v>121</v>
      </c>
      <c r="B55" t="s">
        <v>122</v>
      </c>
      <c r="C55">
        <v>74</v>
      </c>
      <c r="D55">
        <v>87</v>
      </c>
      <c r="E55">
        <v>57</v>
      </c>
      <c r="F55">
        <v>71</v>
      </c>
      <c r="G55">
        <v>84</v>
      </c>
      <c r="H55">
        <v>69</v>
      </c>
      <c r="I55">
        <v>77</v>
      </c>
      <c r="J55">
        <v>2.97</v>
      </c>
      <c r="K55">
        <v>2.9</v>
      </c>
      <c r="L55">
        <f t="shared" si="4"/>
        <v>74.142857142857096</v>
      </c>
      <c r="M55" t="str">
        <f t="shared" si="5"/>
        <v>B</v>
      </c>
      <c r="N55" s="3">
        <f t="shared" si="6"/>
        <v>519</v>
      </c>
      <c r="O55">
        <f t="shared" si="7"/>
        <v>74.142857142857096</v>
      </c>
    </row>
    <row r="56" spans="1:15">
      <c r="A56" t="s">
        <v>123</v>
      </c>
      <c r="B56" t="s">
        <v>124</v>
      </c>
      <c r="C56">
        <v>74</v>
      </c>
      <c r="D56">
        <v>63</v>
      </c>
      <c r="E56">
        <v>63</v>
      </c>
      <c r="F56">
        <v>97</v>
      </c>
      <c r="G56">
        <v>91</v>
      </c>
      <c r="H56">
        <v>97</v>
      </c>
      <c r="I56">
        <v>98</v>
      </c>
      <c r="J56">
        <v>3.33</v>
      </c>
      <c r="K56">
        <v>3.37</v>
      </c>
      <c r="L56">
        <f t="shared" si="4"/>
        <v>83.285714285714306</v>
      </c>
      <c r="M56" t="str">
        <f t="shared" si="5"/>
        <v>B</v>
      </c>
      <c r="N56" s="3">
        <f t="shared" si="6"/>
        <v>583</v>
      </c>
      <c r="O56">
        <f t="shared" si="7"/>
        <v>83.285714285714306</v>
      </c>
    </row>
    <row r="57" spans="1:15">
      <c r="A57" t="s">
        <v>125</v>
      </c>
      <c r="B57" t="s">
        <v>126</v>
      </c>
      <c r="C57">
        <v>83</v>
      </c>
      <c r="D57">
        <v>82</v>
      </c>
      <c r="E57">
        <v>50</v>
      </c>
      <c r="F57">
        <v>52</v>
      </c>
      <c r="G57">
        <v>58</v>
      </c>
      <c r="H57">
        <v>96</v>
      </c>
      <c r="I57">
        <v>79</v>
      </c>
      <c r="J57">
        <v>2.86</v>
      </c>
      <c r="K57">
        <v>2.71</v>
      </c>
      <c r="L57">
        <f t="shared" si="4"/>
        <v>71.428571428571402</v>
      </c>
      <c r="M57" t="str">
        <f t="shared" si="5"/>
        <v>A</v>
      </c>
      <c r="N57" s="3">
        <f t="shared" si="6"/>
        <v>500</v>
      </c>
      <c r="O57">
        <f t="shared" si="7"/>
        <v>71.428571428571402</v>
      </c>
    </row>
    <row r="58" spans="1:15">
      <c r="A58" t="s">
        <v>127</v>
      </c>
      <c r="B58" t="s">
        <v>128</v>
      </c>
      <c r="C58">
        <v>57</v>
      </c>
      <c r="D58">
        <v>65</v>
      </c>
      <c r="E58">
        <v>64</v>
      </c>
      <c r="F58">
        <v>55</v>
      </c>
      <c r="G58">
        <v>67</v>
      </c>
      <c r="H58">
        <v>93</v>
      </c>
      <c r="I58">
        <v>93</v>
      </c>
      <c r="J58">
        <v>2.82</v>
      </c>
      <c r="K58">
        <v>3</v>
      </c>
      <c r="L58">
        <f t="shared" si="4"/>
        <v>70.571428571428598</v>
      </c>
      <c r="M58" t="str">
        <f t="shared" si="5"/>
        <v>D</v>
      </c>
      <c r="N58" s="3">
        <f t="shared" si="6"/>
        <v>494</v>
      </c>
      <c r="O58">
        <f t="shared" si="7"/>
        <v>70.571428571428598</v>
      </c>
    </row>
    <row r="59" spans="1:15">
      <c r="A59" t="s">
        <v>129</v>
      </c>
      <c r="B59" t="s">
        <v>130</v>
      </c>
      <c r="C59">
        <v>72</v>
      </c>
      <c r="D59">
        <v>94</v>
      </c>
      <c r="E59">
        <v>99</v>
      </c>
      <c r="F59">
        <v>77</v>
      </c>
      <c r="G59">
        <v>79</v>
      </c>
      <c r="H59">
        <v>91</v>
      </c>
      <c r="I59">
        <v>100</v>
      </c>
      <c r="J59">
        <v>3.5</v>
      </c>
      <c r="K59">
        <v>3.46</v>
      </c>
      <c r="L59">
        <f t="shared" si="4"/>
        <v>87.428571428571402</v>
      </c>
      <c r="M59" t="str">
        <f t="shared" si="5"/>
        <v>B</v>
      </c>
      <c r="N59" s="3">
        <f t="shared" si="6"/>
        <v>612</v>
      </c>
      <c r="O59">
        <f t="shared" si="7"/>
        <v>87.428571428571402</v>
      </c>
    </row>
    <row r="60" spans="1:15">
      <c r="A60" t="s">
        <v>131</v>
      </c>
      <c r="B60" t="s">
        <v>132</v>
      </c>
      <c r="C60">
        <v>52</v>
      </c>
      <c r="D60">
        <v>63</v>
      </c>
      <c r="E60">
        <v>61</v>
      </c>
      <c r="F60">
        <v>96</v>
      </c>
      <c r="G60">
        <v>96</v>
      </c>
      <c r="H60">
        <v>87</v>
      </c>
      <c r="I60">
        <v>55</v>
      </c>
      <c r="J60">
        <v>2.91</v>
      </c>
      <c r="K60">
        <v>2.96</v>
      </c>
      <c r="L60">
        <f t="shared" si="4"/>
        <v>72.857142857142804</v>
      </c>
      <c r="M60" t="str">
        <f t="shared" si="5"/>
        <v>D</v>
      </c>
      <c r="N60" s="3">
        <f t="shared" si="6"/>
        <v>510</v>
      </c>
      <c r="O60">
        <f t="shared" si="7"/>
        <v>72.857142857142904</v>
      </c>
    </row>
    <row r="61" spans="1:15">
      <c r="A61" t="s">
        <v>133</v>
      </c>
      <c r="B61" t="s">
        <v>134</v>
      </c>
      <c r="C61">
        <v>77</v>
      </c>
      <c r="D61">
        <v>65</v>
      </c>
      <c r="E61">
        <v>62</v>
      </c>
      <c r="F61">
        <v>54</v>
      </c>
      <c r="G61">
        <v>65</v>
      </c>
      <c r="H61">
        <v>87</v>
      </c>
      <c r="I61">
        <v>94</v>
      </c>
      <c r="J61">
        <v>2.88</v>
      </c>
      <c r="K61">
        <v>2.81</v>
      </c>
      <c r="L61">
        <f t="shared" si="4"/>
        <v>72</v>
      </c>
      <c r="M61" t="str">
        <f t="shared" si="5"/>
        <v>B</v>
      </c>
      <c r="N61" s="3">
        <f t="shared" si="6"/>
        <v>504</v>
      </c>
      <c r="O61">
        <f t="shared" si="7"/>
        <v>72</v>
      </c>
    </row>
    <row r="62" spans="1:15">
      <c r="A62" t="s">
        <v>135</v>
      </c>
      <c r="B62" t="s">
        <v>136</v>
      </c>
      <c r="C62">
        <v>81</v>
      </c>
      <c r="D62">
        <v>50</v>
      </c>
      <c r="E62">
        <v>78</v>
      </c>
      <c r="F62">
        <v>69</v>
      </c>
      <c r="G62">
        <v>73</v>
      </c>
      <c r="H62">
        <v>98</v>
      </c>
      <c r="I62">
        <v>94</v>
      </c>
      <c r="J62">
        <v>3.1</v>
      </c>
      <c r="K62">
        <v>2.96</v>
      </c>
      <c r="L62">
        <f t="shared" si="4"/>
        <v>77.571428571428598</v>
      </c>
      <c r="M62" t="str">
        <f t="shared" si="5"/>
        <v>A</v>
      </c>
      <c r="N62" s="3">
        <f t="shared" si="6"/>
        <v>543</v>
      </c>
      <c r="O62">
        <f t="shared" si="7"/>
        <v>77.571428571428598</v>
      </c>
    </row>
    <row r="63" spans="1:15">
      <c r="A63" t="s">
        <v>137</v>
      </c>
      <c r="B63" t="s">
        <v>138</v>
      </c>
      <c r="C63">
        <v>72</v>
      </c>
      <c r="D63">
        <v>81</v>
      </c>
      <c r="E63">
        <v>57</v>
      </c>
      <c r="F63">
        <v>89</v>
      </c>
      <c r="G63">
        <v>80</v>
      </c>
      <c r="H63">
        <v>86</v>
      </c>
      <c r="I63">
        <v>63</v>
      </c>
      <c r="J63">
        <v>3.02</v>
      </c>
      <c r="K63">
        <v>2.82</v>
      </c>
      <c r="L63">
        <f t="shared" si="4"/>
        <v>75.428571428571402</v>
      </c>
      <c r="M63" t="str">
        <f t="shared" si="5"/>
        <v>B</v>
      </c>
      <c r="N63" s="3">
        <f t="shared" si="6"/>
        <v>528</v>
      </c>
      <c r="O63">
        <f t="shared" si="7"/>
        <v>75.428571428571402</v>
      </c>
    </row>
    <row r="64" spans="1:15">
      <c r="A64" t="s">
        <v>139</v>
      </c>
      <c r="B64" t="s">
        <v>140</v>
      </c>
      <c r="C64">
        <v>94</v>
      </c>
      <c r="D64">
        <v>50</v>
      </c>
      <c r="E64">
        <v>75</v>
      </c>
      <c r="F64">
        <v>56</v>
      </c>
      <c r="G64">
        <v>55</v>
      </c>
      <c r="H64">
        <v>67</v>
      </c>
      <c r="I64">
        <v>53</v>
      </c>
      <c r="J64">
        <v>2.57</v>
      </c>
      <c r="K64">
        <v>2.4500000000000002</v>
      </c>
      <c r="L64">
        <f t="shared" si="4"/>
        <v>64.285714285714306</v>
      </c>
      <c r="M64" t="str">
        <f t="shared" si="5"/>
        <v>A</v>
      </c>
      <c r="N64" s="3">
        <f t="shared" si="6"/>
        <v>450</v>
      </c>
      <c r="O64">
        <f t="shared" si="7"/>
        <v>64.285714285714306</v>
      </c>
    </row>
    <row r="65" spans="1:15">
      <c r="A65" t="s">
        <v>141</v>
      </c>
      <c r="B65" t="s">
        <v>142</v>
      </c>
      <c r="C65">
        <v>85</v>
      </c>
      <c r="D65">
        <v>84</v>
      </c>
      <c r="E65">
        <v>70</v>
      </c>
      <c r="F65">
        <v>77</v>
      </c>
      <c r="G65">
        <v>94</v>
      </c>
      <c r="H65">
        <v>55</v>
      </c>
      <c r="I65">
        <v>51</v>
      </c>
      <c r="J65">
        <v>2.95</v>
      </c>
      <c r="K65">
        <v>2.82</v>
      </c>
      <c r="L65">
        <f t="shared" si="4"/>
        <v>73.714285714285694</v>
      </c>
      <c r="M65" t="str">
        <f t="shared" si="5"/>
        <v>A</v>
      </c>
      <c r="N65" s="3">
        <f t="shared" si="6"/>
        <v>516</v>
      </c>
      <c r="O65">
        <f t="shared" si="7"/>
        <v>73.714285714285694</v>
      </c>
    </row>
    <row r="66" spans="1:15">
      <c r="A66" t="s">
        <v>143</v>
      </c>
      <c r="B66" t="s">
        <v>144</v>
      </c>
      <c r="C66">
        <v>75</v>
      </c>
      <c r="D66">
        <v>99</v>
      </c>
      <c r="E66">
        <v>80</v>
      </c>
      <c r="F66">
        <v>57</v>
      </c>
      <c r="G66">
        <v>79</v>
      </c>
      <c r="H66">
        <v>94</v>
      </c>
      <c r="I66">
        <v>78</v>
      </c>
      <c r="J66">
        <v>3.21</v>
      </c>
      <c r="K66">
        <v>3.22</v>
      </c>
      <c r="L66">
        <f t="shared" si="4"/>
        <v>80.285714285714306</v>
      </c>
      <c r="M66" t="str">
        <f t="shared" si="5"/>
        <v>B</v>
      </c>
      <c r="N66" s="3">
        <f t="shared" si="6"/>
        <v>562</v>
      </c>
      <c r="O66">
        <f t="shared" si="7"/>
        <v>80.285714285714306</v>
      </c>
    </row>
    <row r="67" spans="1:15">
      <c r="A67" t="s">
        <v>145</v>
      </c>
      <c r="B67" t="s">
        <v>146</v>
      </c>
      <c r="C67">
        <v>88</v>
      </c>
      <c r="D67">
        <v>80</v>
      </c>
      <c r="E67">
        <v>74</v>
      </c>
      <c r="F67">
        <v>60</v>
      </c>
      <c r="G67">
        <v>65</v>
      </c>
      <c r="H67">
        <v>92</v>
      </c>
      <c r="I67">
        <v>57</v>
      </c>
      <c r="J67">
        <v>2.95</v>
      </c>
      <c r="K67">
        <v>2.82</v>
      </c>
      <c r="L67">
        <f t="shared" ref="L67:L101" si="8">N67/700*100</f>
        <v>73.714285714285694</v>
      </c>
      <c r="M67" t="str">
        <f t="shared" ref="M67:M101" si="9">IF(C67&gt;=80,"A",IF(C67&gt;=70,"B",IF(C67&gt;=60,"C",IF(C67&gt;=50,"D","F"))))</f>
        <v>A</v>
      </c>
      <c r="N67" s="3">
        <f t="shared" ref="N67:N101" si="10">C67+D67+E67+F67+G67+H67+I67</f>
        <v>516</v>
      </c>
      <c r="O67">
        <f t="shared" ref="O67:O101" si="11">AVERAGE(C67:I67)</f>
        <v>73.714285714285694</v>
      </c>
    </row>
    <row r="68" spans="1:15">
      <c r="A68" t="s">
        <v>147</v>
      </c>
      <c r="B68" t="s">
        <v>148</v>
      </c>
      <c r="C68">
        <v>77</v>
      </c>
      <c r="D68">
        <v>92</v>
      </c>
      <c r="E68">
        <v>94</v>
      </c>
      <c r="F68">
        <v>57</v>
      </c>
      <c r="G68">
        <v>92</v>
      </c>
      <c r="H68">
        <v>75</v>
      </c>
      <c r="I68">
        <v>90</v>
      </c>
      <c r="J68">
        <v>3.3</v>
      </c>
      <c r="K68">
        <v>3.25</v>
      </c>
      <c r="L68">
        <f t="shared" si="8"/>
        <v>82.428571428571402</v>
      </c>
      <c r="M68" t="str">
        <f t="shared" si="9"/>
        <v>B</v>
      </c>
      <c r="N68" s="3">
        <f t="shared" si="10"/>
        <v>577</v>
      </c>
      <c r="O68">
        <f t="shared" si="11"/>
        <v>82.428571428571402</v>
      </c>
    </row>
    <row r="69" spans="1:15">
      <c r="A69" t="s">
        <v>149</v>
      </c>
      <c r="B69" t="s">
        <v>150</v>
      </c>
      <c r="C69">
        <v>56</v>
      </c>
      <c r="D69">
        <v>52</v>
      </c>
      <c r="E69">
        <v>82</v>
      </c>
      <c r="F69">
        <v>91</v>
      </c>
      <c r="G69">
        <v>54</v>
      </c>
      <c r="H69">
        <v>95</v>
      </c>
      <c r="I69">
        <v>56</v>
      </c>
      <c r="J69">
        <v>2.78</v>
      </c>
      <c r="K69">
        <v>2.86</v>
      </c>
      <c r="L69">
        <f t="shared" si="8"/>
        <v>69.428571428571402</v>
      </c>
      <c r="M69" t="str">
        <f t="shared" si="9"/>
        <v>D</v>
      </c>
      <c r="N69" s="3">
        <f t="shared" si="10"/>
        <v>486</v>
      </c>
      <c r="O69">
        <f t="shared" si="11"/>
        <v>69.428571428571402</v>
      </c>
    </row>
    <row r="70" spans="1:15">
      <c r="A70" t="s">
        <v>151</v>
      </c>
      <c r="B70" t="s">
        <v>152</v>
      </c>
      <c r="C70">
        <v>81</v>
      </c>
      <c r="D70">
        <v>90</v>
      </c>
      <c r="E70">
        <v>51</v>
      </c>
      <c r="F70">
        <v>99</v>
      </c>
      <c r="G70">
        <v>58</v>
      </c>
      <c r="H70">
        <v>90</v>
      </c>
      <c r="I70">
        <v>82</v>
      </c>
      <c r="J70">
        <v>3.15</v>
      </c>
      <c r="K70">
        <v>3.02</v>
      </c>
      <c r="L70">
        <f t="shared" si="8"/>
        <v>78.714285714285694</v>
      </c>
      <c r="M70" t="str">
        <f t="shared" si="9"/>
        <v>A</v>
      </c>
      <c r="N70" s="3">
        <f t="shared" si="10"/>
        <v>551</v>
      </c>
      <c r="O70">
        <f t="shared" si="11"/>
        <v>78.714285714285694</v>
      </c>
    </row>
    <row r="71" spans="1:15">
      <c r="A71" t="s">
        <v>153</v>
      </c>
      <c r="B71" t="s">
        <v>154</v>
      </c>
      <c r="C71">
        <v>60</v>
      </c>
      <c r="D71">
        <v>85</v>
      </c>
      <c r="E71">
        <v>95</v>
      </c>
      <c r="F71">
        <v>68</v>
      </c>
      <c r="G71">
        <v>97</v>
      </c>
      <c r="H71">
        <v>97</v>
      </c>
      <c r="I71">
        <v>85</v>
      </c>
      <c r="J71">
        <v>3.35</v>
      </c>
      <c r="K71">
        <v>3.4</v>
      </c>
      <c r="L71">
        <f t="shared" si="8"/>
        <v>83.857142857142804</v>
      </c>
      <c r="M71" t="str">
        <f t="shared" si="9"/>
        <v>C</v>
      </c>
      <c r="N71" s="3">
        <f t="shared" si="10"/>
        <v>587</v>
      </c>
      <c r="O71">
        <f t="shared" si="11"/>
        <v>83.857142857142904</v>
      </c>
    </row>
    <row r="72" spans="1:15">
      <c r="A72" t="s">
        <v>155</v>
      </c>
      <c r="B72" t="s">
        <v>156</v>
      </c>
      <c r="C72">
        <v>61</v>
      </c>
      <c r="D72">
        <v>93</v>
      </c>
      <c r="E72">
        <v>85</v>
      </c>
      <c r="F72">
        <v>82</v>
      </c>
      <c r="G72">
        <v>58</v>
      </c>
      <c r="H72">
        <v>81</v>
      </c>
      <c r="I72">
        <v>64</v>
      </c>
      <c r="J72">
        <v>2.99</v>
      </c>
      <c r="K72">
        <v>3.04</v>
      </c>
      <c r="L72">
        <f t="shared" si="8"/>
        <v>74.857142857142904</v>
      </c>
      <c r="M72" t="str">
        <f t="shared" si="9"/>
        <v>C</v>
      </c>
      <c r="N72" s="3">
        <f t="shared" si="10"/>
        <v>524</v>
      </c>
      <c r="O72">
        <f t="shared" si="11"/>
        <v>74.857142857142904</v>
      </c>
    </row>
    <row r="73" spans="1:15">
      <c r="A73" t="s">
        <v>157</v>
      </c>
      <c r="B73" t="s">
        <v>158</v>
      </c>
      <c r="C73">
        <v>66</v>
      </c>
      <c r="D73">
        <v>66</v>
      </c>
      <c r="E73">
        <v>80</v>
      </c>
      <c r="F73">
        <v>60</v>
      </c>
      <c r="G73">
        <v>74</v>
      </c>
      <c r="H73">
        <v>54</v>
      </c>
      <c r="I73">
        <v>79</v>
      </c>
      <c r="J73">
        <v>2.74</v>
      </c>
      <c r="K73">
        <v>2.81</v>
      </c>
      <c r="L73">
        <f t="shared" si="8"/>
        <v>68.428571428571402</v>
      </c>
      <c r="M73" t="str">
        <f t="shared" si="9"/>
        <v>C</v>
      </c>
      <c r="N73" s="3">
        <f t="shared" si="10"/>
        <v>479</v>
      </c>
      <c r="O73">
        <f t="shared" si="11"/>
        <v>68.428571428571402</v>
      </c>
    </row>
    <row r="74" spans="1:15">
      <c r="A74" t="s">
        <v>159</v>
      </c>
      <c r="B74" t="s">
        <v>160</v>
      </c>
      <c r="C74">
        <v>58</v>
      </c>
      <c r="D74">
        <v>53</v>
      </c>
      <c r="E74">
        <v>58</v>
      </c>
      <c r="F74">
        <v>67</v>
      </c>
      <c r="G74">
        <v>82</v>
      </c>
      <c r="H74">
        <v>68</v>
      </c>
      <c r="I74">
        <v>97</v>
      </c>
      <c r="J74">
        <v>2.76</v>
      </c>
      <c r="K74">
        <v>2.57</v>
      </c>
      <c r="L74">
        <f t="shared" si="8"/>
        <v>69</v>
      </c>
      <c r="M74" t="str">
        <f t="shared" si="9"/>
        <v>D</v>
      </c>
      <c r="N74" s="3">
        <f t="shared" si="10"/>
        <v>483</v>
      </c>
      <c r="O74">
        <f t="shared" si="11"/>
        <v>69</v>
      </c>
    </row>
    <row r="75" spans="1:15">
      <c r="A75" t="s">
        <v>161</v>
      </c>
      <c r="B75" t="s">
        <v>162</v>
      </c>
      <c r="C75">
        <v>88</v>
      </c>
      <c r="D75">
        <v>58</v>
      </c>
      <c r="E75">
        <v>96</v>
      </c>
      <c r="F75">
        <v>57</v>
      </c>
      <c r="G75">
        <v>89</v>
      </c>
      <c r="H75">
        <v>86</v>
      </c>
      <c r="I75">
        <v>96</v>
      </c>
      <c r="J75">
        <v>3.26</v>
      </c>
      <c r="K75">
        <v>3.3</v>
      </c>
      <c r="L75">
        <f t="shared" si="8"/>
        <v>81.428571428571402</v>
      </c>
      <c r="M75" t="str">
        <f t="shared" si="9"/>
        <v>A</v>
      </c>
      <c r="N75" s="3">
        <f t="shared" si="10"/>
        <v>570</v>
      </c>
      <c r="O75">
        <f t="shared" si="11"/>
        <v>81.428571428571402</v>
      </c>
    </row>
    <row r="76" spans="1:15">
      <c r="A76" t="s">
        <v>163</v>
      </c>
      <c r="B76" t="s">
        <v>164</v>
      </c>
      <c r="C76">
        <v>79</v>
      </c>
      <c r="D76">
        <v>73</v>
      </c>
      <c r="E76">
        <v>82</v>
      </c>
      <c r="F76">
        <v>97</v>
      </c>
      <c r="G76">
        <v>65</v>
      </c>
      <c r="H76">
        <v>82</v>
      </c>
      <c r="I76">
        <v>60</v>
      </c>
      <c r="J76">
        <v>3.07</v>
      </c>
      <c r="K76">
        <v>3.1</v>
      </c>
      <c r="L76">
        <f t="shared" si="8"/>
        <v>76.857142857142904</v>
      </c>
      <c r="M76" t="str">
        <f t="shared" si="9"/>
        <v>B</v>
      </c>
      <c r="N76" s="3">
        <f t="shared" si="10"/>
        <v>538</v>
      </c>
      <c r="O76">
        <f t="shared" si="11"/>
        <v>76.857142857142904</v>
      </c>
    </row>
    <row r="77" spans="1:15">
      <c r="A77" t="s">
        <v>165</v>
      </c>
      <c r="B77" t="s">
        <v>166</v>
      </c>
      <c r="C77">
        <v>84</v>
      </c>
      <c r="D77">
        <v>54</v>
      </c>
      <c r="E77">
        <v>97</v>
      </c>
      <c r="F77">
        <v>72</v>
      </c>
      <c r="G77">
        <v>51</v>
      </c>
      <c r="H77">
        <v>55</v>
      </c>
      <c r="I77">
        <v>68</v>
      </c>
      <c r="J77">
        <v>2.75</v>
      </c>
      <c r="K77">
        <v>2.82</v>
      </c>
      <c r="L77">
        <f t="shared" si="8"/>
        <v>68.714285714285694</v>
      </c>
      <c r="M77" t="str">
        <f t="shared" si="9"/>
        <v>A</v>
      </c>
      <c r="N77" s="3">
        <f t="shared" si="10"/>
        <v>481</v>
      </c>
      <c r="O77">
        <f t="shared" si="11"/>
        <v>68.714285714285694</v>
      </c>
    </row>
    <row r="78" spans="1:15">
      <c r="A78" t="s">
        <v>167</v>
      </c>
      <c r="B78" t="s">
        <v>168</v>
      </c>
      <c r="C78">
        <v>79</v>
      </c>
      <c r="D78">
        <v>55</v>
      </c>
      <c r="E78">
        <v>53</v>
      </c>
      <c r="F78">
        <v>56</v>
      </c>
      <c r="G78">
        <v>80</v>
      </c>
      <c r="H78">
        <v>78</v>
      </c>
      <c r="I78">
        <v>88</v>
      </c>
      <c r="J78">
        <v>2.79</v>
      </c>
      <c r="K78">
        <v>2.76</v>
      </c>
      <c r="L78">
        <f t="shared" si="8"/>
        <v>69.857142857142904</v>
      </c>
      <c r="M78" t="str">
        <f t="shared" si="9"/>
        <v>B</v>
      </c>
      <c r="N78" s="3">
        <f t="shared" si="10"/>
        <v>489</v>
      </c>
      <c r="O78">
        <f t="shared" si="11"/>
        <v>69.857142857142904</v>
      </c>
    </row>
    <row r="79" spans="1:15">
      <c r="A79" t="s">
        <v>169</v>
      </c>
      <c r="B79" t="s">
        <v>170</v>
      </c>
      <c r="C79">
        <v>93</v>
      </c>
      <c r="D79">
        <v>87</v>
      </c>
      <c r="E79">
        <v>75</v>
      </c>
      <c r="F79">
        <v>80</v>
      </c>
      <c r="G79">
        <v>72</v>
      </c>
      <c r="H79">
        <v>81</v>
      </c>
      <c r="I79">
        <v>56</v>
      </c>
      <c r="J79">
        <v>3.11</v>
      </c>
      <c r="K79">
        <v>3.3</v>
      </c>
      <c r="L79">
        <f t="shared" si="8"/>
        <v>77.714285714285694</v>
      </c>
      <c r="M79" t="str">
        <f t="shared" si="9"/>
        <v>A</v>
      </c>
      <c r="N79" s="3">
        <f t="shared" si="10"/>
        <v>544</v>
      </c>
      <c r="O79">
        <f t="shared" si="11"/>
        <v>77.714285714285694</v>
      </c>
    </row>
    <row r="80" spans="1:15">
      <c r="A80" t="s">
        <v>171</v>
      </c>
      <c r="B80" t="s">
        <v>172</v>
      </c>
      <c r="C80">
        <v>63</v>
      </c>
      <c r="D80">
        <v>59</v>
      </c>
      <c r="E80">
        <v>81</v>
      </c>
      <c r="F80">
        <v>55</v>
      </c>
      <c r="G80">
        <v>76</v>
      </c>
      <c r="H80">
        <v>99</v>
      </c>
      <c r="I80">
        <v>68</v>
      </c>
      <c r="J80">
        <v>2.86</v>
      </c>
      <c r="K80">
        <v>2.7</v>
      </c>
      <c r="L80">
        <f t="shared" si="8"/>
        <v>71.571428571428598</v>
      </c>
      <c r="M80" t="str">
        <f t="shared" si="9"/>
        <v>C</v>
      </c>
      <c r="N80" s="3">
        <f t="shared" si="10"/>
        <v>501</v>
      </c>
      <c r="O80">
        <f t="shared" si="11"/>
        <v>71.571428571428598</v>
      </c>
    </row>
    <row r="81" spans="1:15">
      <c r="A81" t="s">
        <v>173</v>
      </c>
      <c r="B81" t="s">
        <v>174</v>
      </c>
      <c r="C81">
        <v>81</v>
      </c>
      <c r="D81">
        <v>89</v>
      </c>
      <c r="E81">
        <v>61</v>
      </c>
      <c r="F81">
        <v>69</v>
      </c>
      <c r="G81">
        <v>74</v>
      </c>
      <c r="H81">
        <v>92</v>
      </c>
      <c r="I81">
        <v>74</v>
      </c>
      <c r="J81">
        <v>3.09</v>
      </c>
      <c r="K81">
        <v>3.22</v>
      </c>
      <c r="L81">
        <f t="shared" si="8"/>
        <v>77.142857142857196</v>
      </c>
      <c r="M81" t="str">
        <f t="shared" si="9"/>
        <v>A</v>
      </c>
      <c r="N81" s="3">
        <f t="shared" si="10"/>
        <v>540</v>
      </c>
      <c r="O81">
        <f t="shared" si="11"/>
        <v>77.142857142857096</v>
      </c>
    </row>
    <row r="82" spans="1:15">
      <c r="A82" t="s">
        <v>175</v>
      </c>
      <c r="B82" t="s">
        <v>176</v>
      </c>
      <c r="C82">
        <v>75</v>
      </c>
      <c r="D82">
        <v>76</v>
      </c>
      <c r="E82">
        <v>70</v>
      </c>
      <c r="F82">
        <v>81</v>
      </c>
      <c r="G82">
        <v>67</v>
      </c>
      <c r="H82">
        <v>75</v>
      </c>
      <c r="I82">
        <v>92</v>
      </c>
      <c r="J82">
        <v>3.06</v>
      </c>
      <c r="K82">
        <v>3.11</v>
      </c>
      <c r="L82">
        <f t="shared" si="8"/>
        <v>76.571428571428598</v>
      </c>
      <c r="M82" t="str">
        <f t="shared" si="9"/>
        <v>B</v>
      </c>
      <c r="N82" s="3">
        <f t="shared" si="10"/>
        <v>536</v>
      </c>
      <c r="O82">
        <f t="shared" si="11"/>
        <v>76.571428571428598</v>
      </c>
    </row>
    <row r="83" spans="1:15">
      <c r="A83" t="s">
        <v>177</v>
      </c>
      <c r="B83" t="s">
        <v>178</v>
      </c>
      <c r="C83">
        <v>100</v>
      </c>
      <c r="D83">
        <v>80</v>
      </c>
      <c r="E83">
        <v>97</v>
      </c>
      <c r="F83">
        <v>68</v>
      </c>
      <c r="G83">
        <v>99</v>
      </c>
      <c r="H83">
        <v>85</v>
      </c>
      <c r="I83">
        <v>66</v>
      </c>
      <c r="J83">
        <v>3.4</v>
      </c>
      <c r="K83">
        <v>3.4</v>
      </c>
      <c r="L83">
        <f t="shared" si="8"/>
        <v>85</v>
      </c>
      <c r="M83" t="str">
        <f t="shared" si="9"/>
        <v>A</v>
      </c>
      <c r="N83" s="3">
        <f t="shared" si="10"/>
        <v>595</v>
      </c>
      <c r="O83">
        <f t="shared" si="11"/>
        <v>85</v>
      </c>
    </row>
    <row r="84" spans="1:15">
      <c r="A84" t="s">
        <v>179</v>
      </c>
      <c r="B84" t="s">
        <v>180</v>
      </c>
      <c r="C84">
        <v>63</v>
      </c>
      <c r="D84">
        <v>71</v>
      </c>
      <c r="E84">
        <v>88</v>
      </c>
      <c r="F84">
        <v>66</v>
      </c>
      <c r="G84">
        <v>74</v>
      </c>
      <c r="H84">
        <v>95</v>
      </c>
      <c r="I84">
        <v>67</v>
      </c>
      <c r="J84">
        <v>2.99</v>
      </c>
      <c r="K84">
        <v>3</v>
      </c>
      <c r="L84">
        <f t="shared" si="8"/>
        <v>74.857142857142904</v>
      </c>
      <c r="M84" t="str">
        <f t="shared" si="9"/>
        <v>C</v>
      </c>
      <c r="N84" s="3">
        <f t="shared" si="10"/>
        <v>524</v>
      </c>
      <c r="O84">
        <f t="shared" si="11"/>
        <v>74.857142857142904</v>
      </c>
    </row>
    <row r="85" spans="1:15">
      <c r="A85" t="s">
        <v>181</v>
      </c>
      <c r="B85" t="s">
        <v>182</v>
      </c>
      <c r="C85">
        <v>81</v>
      </c>
      <c r="D85">
        <v>57</v>
      </c>
      <c r="E85">
        <v>95</v>
      </c>
      <c r="F85">
        <v>50</v>
      </c>
      <c r="G85">
        <v>93</v>
      </c>
      <c r="H85">
        <v>52</v>
      </c>
      <c r="I85">
        <v>59</v>
      </c>
      <c r="J85">
        <v>2.78</v>
      </c>
      <c r="K85">
        <v>2.68</v>
      </c>
      <c r="L85">
        <f t="shared" si="8"/>
        <v>69.571428571428598</v>
      </c>
      <c r="M85" t="str">
        <f t="shared" si="9"/>
        <v>A</v>
      </c>
      <c r="N85" s="3">
        <f t="shared" si="10"/>
        <v>487</v>
      </c>
      <c r="O85">
        <f t="shared" si="11"/>
        <v>69.571428571428598</v>
      </c>
    </row>
    <row r="86" spans="1:15">
      <c r="A86" t="s">
        <v>183</v>
      </c>
      <c r="B86" t="s">
        <v>184</v>
      </c>
      <c r="C86">
        <v>67</v>
      </c>
      <c r="D86">
        <v>74</v>
      </c>
      <c r="E86">
        <v>55</v>
      </c>
      <c r="F86">
        <v>56</v>
      </c>
      <c r="G86">
        <v>78</v>
      </c>
      <c r="H86">
        <v>89</v>
      </c>
      <c r="I86">
        <v>61</v>
      </c>
      <c r="J86">
        <v>2.74</v>
      </c>
      <c r="K86">
        <v>2.56</v>
      </c>
      <c r="L86">
        <f t="shared" si="8"/>
        <v>68.571428571428598</v>
      </c>
      <c r="M86" t="str">
        <f t="shared" si="9"/>
        <v>C</v>
      </c>
      <c r="N86" s="3">
        <f t="shared" si="10"/>
        <v>480</v>
      </c>
      <c r="O86">
        <f t="shared" si="11"/>
        <v>68.571428571428598</v>
      </c>
    </row>
    <row r="87" spans="1:15">
      <c r="A87" t="s">
        <v>185</v>
      </c>
      <c r="B87" t="s">
        <v>186</v>
      </c>
      <c r="C87">
        <v>90</v>
      </c>
      <c r="D87">
        <v>69</v>
      </c>
      <c r="E87">
        <v>97</v>
      </c>
      <c r="F87">
        <v>73</v>
      </c>
      <c r="G87">
        <v>96</v>
      </c>
      <c r="H87">
        <v>94</v>
      </c>
      <c r="I87">
        <v>52</v>
      </c>
      <c r="J87">
        <v>3.26</v>
      </c>
      <c r="K87">
        <v>3.37</v>
      </c>
      <c r="L87">
        <f t="shared" si="8"/>
        <v>81.571428571428598</v>
      </c>
      <c r="M87" t="str">
        <f t="shared" si="9"/>
        <v>A</v>
      </c>
      <c r="N87" s="3">
        <f t="shared" si="10"/>
        <v>571</v>
      </c>
      <c r="O87">
        <f t="shared" si="11"/>
        <v>81.571428571428598</v>
      </c>
    </row>
    <row r="88" spans="1:15">
      <c r="A88" t="s">
        <v>187</v>
      </c>
      <c r="B88" t="s">
        <v>188</v>
      </c>
      <c r="C88">
        <v>89</v>
      </c>
      <c r="D88">
        <v>54</v>
      </c>
      <c r="E88">
        <v>71</v>
      </c>
      <c r="F88">
        <v>92</v>
      </c>
      <c r="G88">
        <v>72</v>
      </c>
      <c r="H88">
        <v>92</v>
      </c>
      <c r="I88">
        <v>70</v>
      </c>
      <c r="J88">
        <v>3.09</v>
      </c>
      <c r="K88">
        <v>3.12</v>
      </c>
      <c r="L88">
        <f t="shared" si="8"/>
        <v>77.142857142857196</v>
      </c>
      <c r="M88" t="str">
        <f t="shared" si="9"/>
        <v>A</v>
      </c>
      <c r="N88" s="3">
        <f t="shared" si="10"/>
        <v>540</v>
      </c>
      <c r="O88">
        <f t="shared" si="11"/>
        <v>77.142857142857096</v>
      </c>
    </row>
    <row r="89" spans="1:15">
      <c r="A89" t="s">
        <v>189</v>
      </c>
      <c r="B89" t="s">
        <v>190</v>
      </c>
      <c r="C89">
        <v>71</v>
      </c>
      <c r="D89">
        <v>91</v>
      </c>
      <c r="E89">
        <v>96</v>
      </c>
      <c r="F89">
        <v>54</v>
      </c>
      <c r="G89">
        <v>79</v>
      </c>
      <c r="H89">
        <v>59</v>
      </c>
      <c r="I89">
        <v>51</v>
      </c>
      <c r="J89">
        <v>2.86</v>
      </c>
      <c r="K89">
        <v>2.87</v>
      </c>
      <c r="L89">
        <f t="shared" si="8"/>
        <v>71.571428571428598</v>
      </c>
      <c r="M89" t="str">
        <f t="shared" si="9"/>
        <v>B</v>
      </c>
      <c r="N89" s="3">
        <f t="shared" si="10"/>
        <v>501</v>
      </c>
      <c r="O89">
        <f t="shared" si="11"/>
        <v>71.571428571428598</v>
      </c>
    </row>
    <row r="90" spans="1:15">
      <c r="A90" t="s">
        <v>191</v>
      </c>
      <c r="B90" t="s">
        <v>192</v>
      </c>
      <c r="C90">
        <v>51</v>
      </c>
      <c r="D90">
        <v>62</v>
      </c>
      <c r="E90">
        <v>70</v>
      </c>
      <c r="F90">
        <v>73</v>
      </c>
      <c r="G90">
        <v>97</v>
      </c>
      <c r="H90">
        <v>67</v>
      </c>
      <c r="I90">
        <v>65</v>
      </c>
      <c r="J90">
        <v>2.77</v>
      </c>
      <c r="K90">
        <v>2.85</v>
      </c>
      <c r="L90">
        <f t="shared" si="8"/>
        <v>69.285714285714306</v>
      </c>
      <c r="M90" t="str">
        <f t="shared" si="9"/>
        <v>D</v>
      </c>
      <c r="N90" s="3">
        <f t="shared" si="10"/>
        <v>485</v>
      </c>
      <c r="O90">
        <f t="shared" si="11"/>
        <v>69.285714285714306</v>
      </c>
    </row>
    <row r="91" spans="1:15">
      <c r="A91" t="s">
        <v>193</v>
      </c>
      <c r="B91" t="s">
        <v>194</v>
      </c>
      <c r="C91">
        <v>75</v>
      </c>
      <c r="D91">
        <v>67</v>
      </c>
      <c r="E91">
        <v>87</v>
      </c>
      <c r="F91">
        <v>79</v>
      </c>
      <c r="G91">
        <v>91</v>
      </c>
      <c r="H91">
        <v>99</v>
      </c>
      <c r="I91">
        <v>69</v>
      </c>
      <c r="J91">
        <v>3.24</v>
      </c>
      <c r="K91">
        <v>3.09</v>
      </c>
      <c r="L91">
        <f t="shared" si="8"/>
        <v>81</v>
      </c>
      <c r="M91" t="str">
        <f t="shared" si="9"/>
        <v>B</v>
      </c>
      <c r="N91" s="3">
        <f t="shared" si="10"/>
        <v>567</v>
      </c>
      <c r="O91">
        <f t="shared" si="11"/>
        <v>81</v>
      </c>
    </row>
    <row r="92" spans="1:15">
      <c r="A92" t="s">
        <v>195</v>
      </c>
      <c r="B92" t="s">
        <v>196</v>
      </c>
      <c r="C92">
        <v>51</v>
      </c>
      <c r="D92">
        <v>84</v>
      </c>
      <c r="E92">
        <v>66</v>
      </c>
      <c r="F92">
        <v>58</v>
      </c>
      <c r="G92">
        <v>82</v>
      </c>
      <c r="H92">
        <v>89</v>
      </c>
      <c r="I92">
        <v>95</v>
      </c>
      <c r="J92">
        <v>3</v>
      </c>
      <c r="K92">
        <v>3</v>
      </c>
      <c r="L92">
        <f t="shared" si="8"/>
        <v>75</v>
      </c>
      <c r="M92" t="str">
        <f t="shared" si="9"/>
        <v>D</v>
      </c>
      <c r="N92" s="3">
        <f t="shared" si="10"/>
        <v>525</v>
      </c>
      <c r="O92">
        <f t="shared" si="11"/>
        <v>75</v>
      </c>
    </row>
    <row r="93" spans="1:15">
      <c r="A93" t="s">
        <v>197</v>
      </c>
      <c r="B93" t="s">
        <v>198</v>
      </c>
      <c r="C93">
        <v>66</v>
      </c>
      <c r="D93">
        <v>54</v>
      </c>
      <c r="E93">
        <v>66</v>
      </c>
      <c r="F93">
        <v>88</v>
      </c>
      <c r="G93">
        <v>69</v>
      </c>
      <c r="H93">
        <v>70</v>
      </c>
      <c r="I93">
        <v>59</v>
      </c>
      <c r="J93">
        <v>2.7</v>
      </c>
      <c r="K93">
        <v>2.81</v>
      </c>
      <c r="L93">
        <f t="shared" si="8"/>
        <v>67.428571428571402</v>
      </c>
      <c r="M93" t="str">
        <f t="shared" si="9"/>
        <v>C</v>
      </c>
      <c r="N93" s="3">
        <f t="shared" si="10"/>
        <v>472</v>
      </c>
      <c r="O93">
        <f t="shared" si="11"/>
        <v>67.428571428571402</v>
      </c>
    </row>
    <row r="94" spans="1:15">
      <c r="A94" t="s">
        <v>199</v>
      </c>
      <c r="B94" t="s">
        <v>200</v>
      </c>
      <c r="C94">
        <v>73</v>
      </c>
      <c r="D94">
        <v>100</v>
      </c>
      <c r="E94">
        <v>100</v>
      </c>
      <c r="F94">
        <v>70</v>
      </c>
      <c r="G94">
        <v>91</v>
      </c>
      <c r="H94">
        <v>77</v>
      </c>
      <c r="I94">
        <v>53</v>
      </c>
      <c r="J94">
        <v>3.22</v>
      </c>
      <c r="K94">
        <v>3.33</v>
      </c>
      <c r="L94">
        <f t="shared" si="8"/>
        <v>80.571428571428598</v>
      </c>
      <c r="M94" t="str">
        <f t="shared" si="9"/>
        <v>B</v>
      </c>
      <c r="N94" s="3">
        <f t="shared" si="10"/>
        <v>564</v>
      </c>
      <c r="O94">
        <f t="shared" si="11"/>
        <v>80.571428571428598</v>
      </c>
    </row>
    <row r="95" spans="1:15">
      <c r="A95" t="s">
        <v>201</v>
      </c>
      <c r="B95" t="s">
        <v>202</v>
      </c>
      <c r="C95">
        <v>73</v>
      </c>
      <c r="D95">
        <v>85</v>
      </c>
      <c r="E95">
        <v>52</v>
      </c>
      <c r="F95">
        <v>85</v>
      </c>
      <c r="G95">
        <v>54</v>
      </c>
      <c r="H95">
        <v>65</v>
      </c>
      <c r="I95">
        <v>55</v>
      </c>
      <c r="J95">
        <v>2.68</v>
      </c>
      <c r="K95">
        <v>2.88</v>
      </c>
      <c r="L95">
        <f t="shared" si="8"/>
        <v>67</v>
      </c>
      <c r="M95" t="str">
        <f t="shared" si="9"/>
        <v>B</v>
      </c>
      <c r="N95" s="3">
        <f t="shared" si="10"/>
        <v>469</v>
      </c>
      <c r="O95">
        <f t="shared" si="11"/>
        <v>67</v>
      </c>
    </row>
    <row r="96" spans="1:15">
      <c r="A96" t="s">
        <v>203</v>
      </c>
      <c r="B96" t="s">
        <v>204</v>
      </c>
      <c r="C96">
        <v>96</v>
      </c>
      <c r="D96">
        <v>83</v>
      </c>
      <c r="E96">
        <v>63</v>
      </c>
      <c r="F96">
        <v>86</v>
      </c>
      <c r="G96">
        <v>99</v>
      </c>
      <c r="H96">
        <v>82</v>
      </c>
      <c r="I96">
        <v>94</v>
      </c>
      <c r="J96">
        <v>3.45</v>
      </c>
      <c r="K96">
        <v>3.56</v>
      </c>
      <c r="L96">
        <f t="shared" si="8"/>
        <v>86.142857142857096</v>
      </c>
      <c r="M96" t="str">
        <f t="shared" si="9"/>
        <v>A</v>
      </c>
      <c r="N96" s="3">
        <f t="shared" si="10"/>
        <v>603</v>
      </c>
      <c r="O96">
        <f t="shared" si="11"/>
        <v>86.142857142857096</v>
      </c>
    </row>
    <row r="97" spans="1:15">
      <c r="A97" t="s">
        <v>205</v>
      </c>
      <c r="B97" t="s">
        <v>206</v>
      </c>
      <c r="C97">
        <v>74</v>
      </c>
      <c r="D97">
        <v>90</v>
      </c>
      <c r="E97">
        <v>85</v>
      </c>
      <c r="F97">
        <v>93</v>
      </c>
      <c r="G97">
        <v>100</v>
      </c>
      <c r="H97">
        <v>65</v>
      </c>
      <c r="I97">
        <v>79</v>
      </c>
      <c r="J97">
        <v>3.35</v>
      </c>
      <c r="K97">
        <v>3.27</v>
      </c>
      <c r="L97">
        <f t="shared" si="8"/>
        <v>83.714285714285694</v>
      </c>
      <c r="M97" t="str">
        <f t="shared" si="9"/>
        <v>B</v>
      </c>
      <c r="N97" s="3">
        <f t="shared" si="10"/>
        <v>586</v>
      </c>
      <c r="O97">
        <f t="shared" si="11"/>
        <v>83.714285714285694</v>
      </c>
    </row>
    <row r="98" spans="1:15">
      <c r="A98" t="s">
        <v>207</v>
      </c>
      <c r="B98" t="s">
        <v>208</v>
      </c>
      <c r="C98">
        <v>53</v>
      </c>
      <c r="D98">
        <v>58</v>
      </c>
      <c r="E98">
        <v>51</v>
      </c>
      <c r="F98">
        <v>96</v>
      </c>
      <c r="G98">
        <v>55</v>
      </c>
      <c r="H98">
        <v>65</v>
      </c>
      <c r="I98">
        <v>78</v>
      </c>
      <c r="J98">
        <v>2.61</v>
      </c>
      <c r="K98">
        <v>2.75</v>
      </c>
      <c r="L98">
        <f t="shared" si="8"/>
        <v>65.142857142857196</v>
      </c>
      <c r="M98" t="str">
        <f t="shared" si="9"/>
        <v>D</v>
      </c>
      <c r="N98" s="3">
        <f t="shared" si="10"/>
        <v>456</v>
      </c>
      <c r="O98">
        <f t="shared" si="11"/>
        <v>65.142857142857096</v>
      </c>
    </row>
    <row r="99" spans="1:15">
      <c r="A99" t="s">
        <v>209</v>
      </c>
      <c r="B99" t="s">
        <v>210</v>
      </c>
      <c r="C99">
        <v>65</v>
      </c>
      <c r="D99">
        <v>99</v>
      </c>
      <c r="E99">
        <v>73</v>
      </c>
      <c r="F99">
        <v>77</v>
      </c>
      <c r="G99">
        <v>59</v>
      </c>
      <c r="H99">
        <v>66</v>
      </c>
      <c r="I99">
        <v>59</v>
      </c>
      <c r="J99">
        <v>2.85</v>
      </c>
      <c r="K99">
        <v>2.75</v>
      </c>
      <c r="L99">
        <f t="shared" si="8"/>
        <v>71.142857142857096</v>
      </c>
      <c r="M99" t="str">
        <f t="shared" si="9"/>
        <v>C</v>
      </c>
      <c r="N99" s="3">
        <f t="shared" si="10"/>
        <v>498</v>
      </c>
      <c r="O99">
        <f t="shared" si="11"/>
        <v>71.142857142857096</v>
      </c>
    </row>
    <row r="100" spans="1:15">
      <c r="A100" t="s">
        <v>211</v>
      </c>
      <c r="B100" t="s">
        <v>212</v>
      </c>
      <c r="C100">
        <v>87</v>
      </c>
      <c r="D100">
        <v>73</v>
      </c>
      <c r="E100">
        <v>67</v>
      </c>
      <c r="F100">
        <v>70</v>
      </c>
      <c r="G100">
        <v>95</v>
      </c>
      <c r="H100">
        <v>89</v>
      </c>
      <c r="I100">
        <v>62</v>
      </c>
      <c r="J100">
        <v>3.1</v>
      </c>
      <c r="K100">
        <v>3.09</v>
      </c>
      <c r="L100">
        <f t="shared" si="8"/>
        <v>77.571428571428598</v>
      </c>
      <c r="M100" t="str">
        <f t="shared" si="9"/>
        <v>A</v>
      </c>
      <c r="N100" s="3">
        <f t="shared" si="10"/>
        <v>543</v>
      </c>
      <c r="O100">
        <f t="shared" si="11"/>
        <v>77.571428571428598</v>
      </c>
    </row>
    <row r="101" spans="1:15">
      <c r="A101" t="s">
        <v>213</v>
      </c>
      <c r="B101" t="s">
        <v>214</v>
      </c>
      <c r="C101">
        <v>71</v>
      </c>
      <c r="D101">
        <v>62</v>
      </c>
      <c r="E101">
        <v>75</v>
      </c>
      <c r="F101">
        <v>58</v>
      </c>
      <c r="G101">
        <v>67</v>
      </c>
      <c r="H101">
        <v>64</v>
      </c>
      <c r="I101">
        <v>54</v>
      </c>
      <c r="J101">
        <v>2.58</v>
      </c>
      <c r="K101">
        <v>2.42</v>
      </c>
      <c r="L101">
        <f t="shared" si="8"/>
        <v>64.428571428571402</v>
      </c>
      <c r="M101" t="str">
        <f t="shared" si="9"/>
        <v>B</v>
      </c>
      <c r="N101" s="3">
        <f t="shared" si="10"/>
        <v>451</v>
      </c>
      <c r="O101">
        <f t="shared" si="11"/>
        <v>64.428571428571402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Hamza .</cp:lastModifiedBy>
  <dcterms:created xsi:type="dcterms:W3CDTF">2026-07-23T05:21:00Z</dcterms:created>
  <dcterms:modified xsi:type="dcterms:W3CDTF">2026-08-03T06:20:04Z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CCF2767365084AC5BDABB97F1829C803_13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