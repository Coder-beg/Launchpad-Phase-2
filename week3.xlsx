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1"/>
  </bookViews>
  <sheets>
    <sheet name="Sheet1" sheetId="2" r:id="rId1"/>
    <sheet name="Sheet" sheetId="1" r:id="rId2"/>
  </sheets>
  <definedNames>
    <definedName name="Slicer_City">#N/A</definedName>
    <definedName name="Slicer_Salesperson">#N/A</definedName>
    <definedName name="Slicer_Product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6"/>
        <x14:slicerCache r:id="rId5"/>
        <x14:slicerCache r:id="rId4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<sst xmlns="http://schemas.openxmlformats.org/spreadsheetml/2006/main" count="323" uniqueCount="44">
  <si>
    <t>Product</t>
  </si>
  <si>
    <t>Sum of Total Sales</t>
  </si>
  <si>
    <t>Headphones</t>
  </si>
  <si>
    <t>Keyboard</t>
  </si>
  <si>
    <t>Laptop</t>
  </si>
  <si>
    <t>Monitor</t>
  </si>
  <si>
    <t>Smartphone</t>
  </si>
  <si>
    <t>Tablet</t>
  </si>
  <si>
    <t>USB Drive</t>
  </si>
  <si>
    <t>Webcam</t>
  </si>
  <si>
    <t>Grand Total</t>
  </si>
  <si>
    <t>S.No</t>
  </si>
  <si>
    <t>month</t>
  </si>
  <si>
    <t>year</t>
  </si>
  <si>
    <t>City</t>
  </si>
  <si>
    <t>Salesperson</t>
  </si>
  <si>
    <t>Quantity</t>
  </si>
  <si>
    <t>Unit Price</t>
  </si>
  <si>
    <t>Total Sales</t>
  </si>
  <si>
    <t>5% profit</t>
  </si>
  <si>
    <t>10% profit</t>
  </si>
  <si>
    <t>15% profit</t>
  </si>
  <si>
    <t>Faisalabad</t>
  </si>
  <si>
    <t>Fatima Khan</t>
  </si>
  <si>
    <t>Lahore</t>
  </si>
  <si>
    <t>Hamza Ali</t>
  </si>
  <si>
    <t>Printer</t>
  </si>
  <si>
    <t>Ayesha Noor</t>
  </si>
  <si>
    <t>Multan</t>
  </si>
  <si>
    <t>Usman Tariq</t>
  </si>
  <si>
    <t>Karachi</t>
  </si>
  <si>
    <t>Sara Ahmed</t>
  </si>
  <si>
    <t>Ali Khan</t>
  </si>
  <si>
    <t>Islamabad</t>
  </si>
  <si>
    <t>Sialkot</t>
  </si>
  <si>
    <t>Quetta</t>
  </si>
  <si>
    <t>Peshawar</t>
  </si>
  <si>
    <t>Bilal Hassan</t>
  </si>
  <si>
    <t>Zain Malik</t>
  </si>
  <si>
    <t>Rawalpindi</t>
  </si>
  <si>
    <t>Hira Ali</t>
  </si>
  <si>
    <t>Mouse</t>
  </si>
  <si>
    <t>Hyderabad</t>
  </si>
  <si>
    <t>Ahmed Raza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</si>
</sst>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9" fontId="0" fillId="0" borderId="0" xfId="0" applyNumberFormat="1"/>
    <xf numFmtId="58" fontId="0" fillId="0" borderId="0" xfId="0" applyNumberFormat="1"/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3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[Sales_Dataset_100_Rows_City and tables.xlsx]Sheet1!PivotTable1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city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75469991802895"/>
          <c:y val="0.168872531340614"/>
          <c:w val="0.750645540112043"/>
          <c:h val="0.4082322307015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Sheet1!$A$4:$A$12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  <c:pt idx="6">
                  <c:v>USB Drive</c:v>
                </c:pt>
                <c:pt idx="7">
                  <c:v>Webcam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605</c:v>
                </c:pt>
                <c:pt idx="1">
                  <c:v>945</c:v>
                </c:pt>
                <c:pt idx="2">
                  <c:v>11050</c:v>
                </c:pt>
                <c:pt idx="3">
                  <c:v>3960</c:v>
                </c:pt>
                <c:pt idx="4">
                  <c:v>13500</c:v>
                </c:pt>
                <c:pt idx="5">
                  <c:v>4160</c:v>
                </c:pt>
                <c:pt idx="6">
                  <c:v>525</c:v>
                </c:pt>
                <c:pt idx="7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58881052"/>
        <c:axId val="742411059"/>
      </c:barChart>
      <c:catAx>
        <c:axId val="2588810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2411059"/>
        <c:crosses val="autoZero"/>
        <c:auto val="1"/>
        <c:lblAlgn val="ctr"/>
        <c:lblOffset val="100"/>
        <c:noMultiLvlLbl val="0"/>
      </c:catAx>
      <c:valAx>
        <c:axId val="7424110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88810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4025044-5a96-4e14-8c96-3e3618ad76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[Sales_Dataset_100_Rows_City and tables.xlsx]Sheet1!PivotTable1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date</a:t>
            </a:r>
            <a:endParaRPr lang="en-US"/>
          </a:p>
        </c:rich>
      </c:tx>
      <c:layout>
        <c:manualLayout>
          <c:xMode val="edge"/>
          <c:yMode val="edge"/>
          <c:x val="0.38805187999476"/>
          <c:y val="0.12451071619209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Sheet1!$A$4:$A$12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  <c:pt idx="6">
                  <c:v>USB Drive</c:v>
                </c:pt>
                <c:pt idx="7">
                  <c:v>Webcam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605</c:v>
                </c:pt>
                <c:pt idx="1">
                  <c:v>945</c:v>
                </c:pt>
                <c:pt idx="2">
                  <c:v>11050</c:v>
                </c:pt>
                <c:pt idx="3">
                  <c:v>3960</c:v>
                </c:pt>
                <c:pt idx="4">
                  <c:v>13500</c:v>
                </c:pt>
                <c:pt idx="5">
                  <c:v>4160</c:v>
                </c:pt>
                <c:pt idx="6">
                  <c:v>525</c:v>
                </c:pt>
                <c:pt idx="7">
                  <c:v>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9086216"/>
        <c:axId val="921510682"/>
      </c:lineChart>
      <c:catAx>
        <c:axId val="6490862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1510682"/>
        <c:crosses val="autoZero"/>
        <c:auto val="1"/>
        <c:lblAlgn val="ctr"/>
        <c:lblOffset val="100"/>
        <c:noMultiLvlLbl val="0"/>
      </c:catAx>
      <c:valAx>
        <c:axId val="9215106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49086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ece427c8-1c99-4f14-9da8-a4ec3981e9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[Sales_Dataset_100_Rows_City and tables.xlsx]Sheet1!PivotTable1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elete val="1"/>
          </c:dLbls>
          <c:cat>
            <c:strRef>
              <c:f>Sheet1!$A$4:$A$12</c:f>
              <c:strCache>
                <c:ptCount val="8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Monitor</c:v>
                </c:pt>
                <c:pt idx="4">
                  <c:v>Smartphone</c:v>
                </c:pt>
                <c:pt idx="5">
                  <c:v>Tablet</c:v>
                </c:pt>
                <c:pt idx="6">
                  <c:v>USB Drive</c:v>
                </c:pt>
                <c:pt idx="7">
                  <c:v>Webcam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605</c:v>
                </c:pt>
                <c:pt idx="1">
                  <c:v>945</c:v>
                </c:pt>
                <c:pt idx="2">
                  <c:v>11050</c:v>
                </c:pt>
                <c:pt idx="3">
                  <c:v>3960</c:v>
                </c:pt>
                <c:pt idx="4">
                  <c:v>13500</c:v>
                </c:pt>
                <c:pt idx="5">
                  <c:v>4160</c:v>
                </c:pt>
                <c:pt idx="6">
                  <c:v>525</c:v>
                </c:pt>
                <c:pt idx="7">
                  <c:v>150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1083be-301e-4f38-a04b-03ed2dfb101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1186902</xdr:colOff>
      <xdr:row>17</xdr:row>
      <xdr:rowOff>138714</xdr:rowOff>
    </xdr:from>
    <xdr:to>
      <xdr:col>7</xdr:col>
      <xdr:colOff>97330</xdr:colOff>
      <xdr:row>32</xdr:row>
      <xdr:rowOff>119664</xdr:rowOff>
    </xdr:to>
    <xdr:graphicFrame>
      <xdr:nvGraphicFramePr>
        <xdr:cNvPr id="2" name="Chart 1"/>
        <xdr:cNvGraphicFramePr/>
      </xdr:nvGraphicFramePr>
      <xdr:xfrm>
        <a:off x="1974850" y="3268980"/>
        <a:ext cx="478345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92710</xdr:colOff>
      <xdr:row>1</xdr:row>
      <xdr:rowOff>110490</xdr:rowOff>
    </xdr:from>
    <xdr:to>
      <xdr:col>17</xdr:col>
      <xdr:colOff>257810</xdr:colOff>
      <xdr:row>16</xdr:row>
      <xdr:rowOff>91440</xdr:rowOff>
    </xdr:to>
    <xdr:graphicFrame>
      <xdr:nvGraphicFramePr>
        <xdr:cNvPr id="3" name="Chart 2"/>
        <xdr:cNvGraphicFramePr/>
      </xdr:nvGraphicFramePr>
      <xdr:xfrm>
        <a:off x="9344660" y="29464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523000</xdr:colOff>
      <xdr:row>18</xdr:row>
      <xdr:rowOff>41165</xdr:rowOff>
    </xdr:from>
    <xdr:to>
      <xdr:col>15</xdr:col>
      <xdr:colOff>184479</xdr:colOff>
      <xdr:row>33</xdr:row>
      <xdr:rowOff>22115</xdr:rowOff>
    </xdr:to>
    <xdr:graphicFrame>
      <xdr:nvGraphicFramePr>
        <xdr:cNvPr id="4" name="Chart 3"/>
        <xdr:cNvGraphicFramePr/>
      </xdr:nvGraphicFramePr>
      <xdr:xfrm>
        <a:off x="8047355" y="3355340"/>
        <a:ext cx="483044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</xdr:col>
      <xdr:colOff>217170</xdr:colOff>
      <xdr:row>2</xdr:row>
      <xdr:rowOff>14605</xdr:rowOff>
    </xdr:from>
    <xdr:to>
      <xdr:col>3</xdr:col>
      <xdr:colOff>814070</xdr:colOff>
      <xdr:row>14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92020" y="382905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98425</xdr:colOff>
      <xdr:row>2</xdr:row>
      <xdr:rowOff>6350</xdr:rowOff>
    </xdr:from>
    <xdr:to>
      <xdr:col>6</xdr:col>
      <xdr:colOff>200026</xdr:colOff>
      <xdr:row>14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ales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68775" y="37465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606425</xdr:colOff>
      <xdr:row>2</xdr:row>
      <xdr:rowOff>98425</xdr:rowOff>
    </xdr:from>
    <xdr:to>
      <xdr:col>8</xdr:col>
      <xdr:colOff>708024</xdr:colOff>
      <xdr:row>15</xdr:row>
      <xdr:rowOff>79375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03975" y="466725"/>
              <a:ext cx="1828165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0.9829050926" refreshedBy="MCS" recordCount="100">
  <cacheSource type="worksheet">
    <worksheetSource ref="A1:L101" sheet="Sheet"/>
  </cacheSource>
  <cacheFields count="12">
    <cacheField name="S.No" numFmtId="0">
      <sharedItems containsSemiMixedTypes="0" containsString="0" containsNumber="1" containsInteger="1" minValue="0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month" numFmtId="0">
      <sharedItems containsSemiMixedTypes="0" containsString="0" containsNumber="1" containsInteger="1" minValue="0" maxValue="10" count="9">
        <n v="1"/>
        <n v="2"/>
        <n v="3"/>
        <n v="4"/>
        <n v="5"/>
        <n v="8"/>
        <n v="7"/>
        <n v="6"/>
        <n v="10"/>
      </sharedItems>
      <fieldGroup base="1">
        <rangePr startNum="0" endNum="10" groupInterval="1"/>
        <groupItems count="11">
          <s v="&lt;1"/>
          <s v="1-1"/>
          <s v="2-2"/>
          <s v="3-3"/>
          <s v="4-4"/>
          <s v="5-5"/>
          <s v="6-6"/>
          <s v="7-7"/>
          <s v="8-8"/>
          <s v="9-10"/>
          <s v="&gt;10"/>
        </groupItems>
      </fieldGroup>
    </cacheField>
    <cacheField name="year" numFmtId="0">
      <sharedItems containsSemiMixedTypes="0" containsString="0" containsNumber="1" containsInteger="1" minValue="0" maxValue="2025" count="1">
        <n v="2025"/>
      </sharedItems>
      <fieldGroup base="2">
        <rangePr startNum="0" endNum="2025" groupInterval="1"/>
        <groupItems count="3">
          <s v="&lt;2025"/>
          <s v="2025-2026"/>
          <s v="&gt;2026"/>
        </groupItems>
      </fieldGroup>
    </cacheField>
    <cacheField name="City" numFmtId="0">
      <sharedItems count="10">
        <s v="Faisalabad"/>
        <s v="Lahore"/>
        <s v="Multan"/>
        <s v="Karachi"/>
        <s v="Islamabad"/>
        <s v="Sialkot"/>
        <s v="Quetta"/>
        <s v="Peshawar"/>
        <s v="Rawalpindi"/>
        <s v="Hyderabad"/>
      </sharedItems>
    </cacheField>
    <cacheField name="Salesperson" numFmtId="0">
      <sharedItems count="10">
        <s v="Fatima Khan"/>
        <s v="Hamza Ali"/>
        <s v="Ayesha Noor"/>
        <s v="Usman Tariq"/>
        <s v="Sara Ahmed"/>
        <s v="Ali Khan"/>
        <s v="Bilal Hassan"/>
        <s v="Zain Malik"/>
        <s v="Hira Ali"/>
        <s v="Ahmed Raza"/>
      </sharedItems>
    </cacheField>
    <cacheField name="Product" numFmtId="0">
      <sharedItems count="10">
        <s v="Smartphone"/>
        <s v="Printer"/>
        <s v="Monitor"/>
        <s v="USB Drive"/>
        <s v="Headphones"/>
        <s v="Keyboard"/>
        <s v="Webcam"/>
        <s v="Tablet"/>
        <s v="Mouse"/>
        <s v="Laptop"/>
      </sharedItems>
    </cacheField>
    <cacheField name="Quantity" numFmtId="0">
      <sharedItems containsSemiMixedTypes="0" containsString="0" containsNumber="1" containsInteger="1" minValue="0" maxValue="20" count="20">
        <n v="4"/>
        <n v="17"/>
        <n v="18"/>
        <n v="1"/>
        <n v="9"/>
        <n v="20"/>
        <n v="7"/>
        <n v="16"/>
        <n v="5"/>
        <n v="8"/>
        <n v="15"/>
        <n v="19"/>
        <n v="12"/>
        <n v="13"/>
        <n v="14"/>
        <n v="6"/>
        <n v="11"/>
        <n v="2"/>
        <n v="10"/>
        <n v="3"/>
      </sharedItems>
    </cacheField>
    <cacheField name="Unit Price" numFmtId="0">
      <sharedItems containsSemiMixedTypes="0" containsString="0" containsNumber="1" containsInteger="1" minValue="0" maxValue="1250" count="11">
        <n v="1250"/>
        <n v="180"/>
        <n v="220"/>
        <n v="15"/>
        <n v="55"/>
        <n v="35"/>
        <n v="75"/>
        <n v="500"/>
        <n v="320"/>
        <n v="20"/>
        <n v="850"/>
      </sharedItems>
    </cacheField>
    <cacheField name="Total Sales" numFmtId="0">
      <sharedItems containsSemiMixedTypes="0" containsString="0" containsNumber="1" containsInteger="1" minValue="0" maxValue="16150" count="78">
        <n v="5000"/>
        <n v="3060"/>
        <n v="3960"/>
        <n v="15"/>
        <n v="135"/>
        <n v="1100"/>
        <n v="700"/>
        <n v="1275"/>
        <n v="595"/>
        <n v="1540"/>
        <n v="8000"/>
        <n v="75"/>
        <n v="1760"/>
        <n v="2700"/>
        <n v="275"/>
        <n v="240"/>
        <n v="2560"/>
        <n v="1620"/>
        <n v="525"/>
        <n v="9500"/>
        <n v="420"/>
        <n v="8500"/>
        <n v="1125"/>
        <n v="975"/>
        <n v="490"/>
        <n v="16150"/>
        <n v="270"/>
        <n v="2340"/>
        <n v="900"/>
        <n v="90"/>
        <n v="340"/>
        <n v="220"/>
        <n v="110"/>
        <n v="1700"/>
        <n v="2160"/>
        <n v="350"/>
        <n v="210"/>
        <n v="455"/>
        <n v="3500"/>
        <n v="105"/>
        <n v="1050"/>
        <n v="560"/>
        <n v="825"/>
        <n v="140"/>
        <n v="5500"/>
        <n v="4160"/>
        <n v="15300"/>
        <n v="315"/>
        <n v="4180"/>
        <n v="175"/>
        <n v="165"/>
        <n v="260"/>
        <n v="880"/>
        <n v="330"/>
        <n v="285"/>
        <n v="1320"/>
        <n v="630"/>
        <n v="1425"/>
        <n v="2550"/>
        <n v="1260"/>
        <n v="2640"/>
        <n v="150"/>
        <n v="715"/>
        <n v="14450"/>
        <n v="320"/>
        <n v="11900"/>
        <n v="2520"/>
        <n v="665"/>
        <n v="3080"/>
        <n v="4500"/>
        <n v="1440"/>
        <n v="100"/>
        <n v="10000"/>
        <n v="640"/>
        <n v="4250"/>
        <n v="605"/>
        <n v="12750"/>
        <n v="11050"/>
      </sharedItems>
    </cacheField>
    <cacheField name="5% profit" numFmtId="0">
      <sharedItems containsSemiMixedTypes="0" containsString="0" containsNumber="1" minValue="0" maxValue="16957.5" count="78">
        <n v="5250"/>
        <n v="3213"/>
        <n v="4158"/>
        <n v="15.75"/>
        <n v="141.75"/>
        <n v="1155"/>
        <n v="735"/>
        <n v="1338.75"/>
        <n v="624.75"/>
        <n v="1617"/>
        <n v="8400"/>
        <n v="78.75"/>
        <n v="1848"/>
        <n v="2835"/>
        <n v="288.75"/>
        <n v="252"/>
        <n v="2688"/>
        <n v="1701"/>
        <n v="551.25"/>
        <n v="9975"/>
        <n v="441"/>
        <n v="8925"/>
        <n v="1181.25"/>
        <n v="1023.75"/>
        <n v="514.5"/>
        <n v="16957.5"/>
        <n v="283.5"/>
        <n v="2457"/>
        <n v="945"/>
        <n v="94.5"/>
        <n v="357"/>
        <n v="231"/>
        <n v="115.5"/>
        <n v="1785"/>
        <n v="2268"/>
        <n v="367.5"/>
        <n v="220.5"/>
        <n v="477.75"/>
        <n v="3675"/>
        <n v="110.25"/>
        <n v="1102.5"/>
        <n v="588"/>
        <n v="866.25"/>
        <n v="147"/>
        <n v="5775"/>
        <n v="4368"/>
        <n v="16065"/>
        <n v="330.75"/>
        <n v="4389"/>
        <n v="183.75"/>
        <n v="173.25"/>
        <n v="273"/>
        <n v="924"/>
        <n v="346.5"/>
        <n v="299.25"/>
        <n v="1386"/>
        <n v="661.5"/>
        <n v="1496.25"/>
        <n v="2677.5"/>
        <n v="1323"/>
        <n v="2772"/>
        <n v="157.5"/>
        <n v="750.75"/>
        <n v="15172.5"/>
        <n v="336"/>
        <n v="12495"/>
        <n v="2646"/>
        <n v="698.25"/>
        <n v="3234"/>
        <n v="4725"/>
        <n v="1512"/>
        <n v="105"/>
        <n v="10500"/>
        <n v="672"/>
        <n v="4462.5"/>
        <n v="635.25"/>
        <n v="13387.5"/>
        <n v="11602.5"/>
      </sharedItems>
    </cacheField>
    <cacheField name="10% profit" numFmtId="0">
      <sharedItems containsSemiMixedTypes="0" containsString="0" containsNumber="1" minValue="0" maxValue="17765" count="78">
        <n v="5500"/>
        <n v="3366"/>
        <n v="4356"/>
        <n v="16.5"/>
        <n v="148.5"/>
        <n v="1210"/>
        <n v="770"/>
        <n v="1402.5"/>
        <n v="654.5"/>
        <n v="1694"/>
        <n v="8800"/>
        <n v="82.5"/>
        <n v="1936"/>
        <n v="2970"/>
        <n v="302.5"/>
        <n v="264"/>
        <n v="2816"/>
        <n v="1782"/>
        <n v="577.5"/>
        <n v="10450"/>
        <n v="462"/>
        <n v="9350"/>
        <n v="1237.5"/>
        <n v="1072.5"/>
        <n v="539"/>
        <n v="17765"/>
        <n v="297"/>
        <n v="2574"/>
        <n v="990"/>
        <n v="99"/>
        <n v="374"/>
        <n v="242"/>
        <n v="121"/>
        <n v="1870"/>
        <n v="2376"/>
        <n v="385"/>
        <n v="231"/>
        <n v="500.5"/>
        <n v="3850"/>
        <n v="115.5"/>
        <n v="1155"/>
        <n v="616"/>
        <n v="907.5"/>
        <n v="154"/>
        <n v="6050"/>
        <n v="4576"/>
        <n v="16830"/>
        <n v="346.5"/>
        <n v="4598"/>
        <n v="192.5"/>
        <n v="181.5"/>
        <n v="286"/>
        <n v="968"/>
        <n v="363"/>
        <n v="313.5"/>
        <n v="1452"/>
        <n v="693"/>
        <n v="1567.5"/>
        <n v="2805"/>
        <n v="1386"/>
        <n v="2904"/>
        <n v="165"/>
        <n v="786.5"/>
        <n v="15895"/>
        <n v="352"/>
        <n v="13090"/>
        <n v="2772"/>
        <n v="731.5"/>
        <n v="3388"/>
        <n v="4950"/>
        <n v="1584"/>
        <n v="110"/>
        <n v="11000"/>
        <n v="704"/>
        <n v="4675"/>
        <n v="665.5"/>
        <n v="14025"/>
        <n v="12155"/>
      </sharedItems>
    </cacheField>
    <cacheField name="15% profit" numFmtId="0">
      <sharedItems containsSemiMixedTypes="0" containsString="0" containsNumber="1" minValue="0" maxValue="18572.5" count="78">
        <n v="5750"/>
        <n v="3519"/>
        <n v="4554"/>
        <n v="17.25"/>
        <n v="155.25"/>
        <n v="1265"/>
        <n v="805"/>
        <n v="1466.25"/>
        <n v="684.25"/>
        <n v="1771"/>
        <n v="9200"/>
        <n v="86.25"/>
        <n v="2024"/>
        <n v="3105"/>
        <n v="316.25"/>
        <n v="276"/>
        <n v="2944"/>
        <n v="1863"/>
        <n v="603.75"/>
        <n v="10925"/>
        <n v="483"/>
        <n v="9775"/>
        <n v="1293.75"/>
        <n v="1121.25"/>
        <n v="563.5"/>
        <n v="18572.5"/>
        <n v="310.5"/>
        <n v="2691"/>
        <n v="1035"/>
        <n v="103.5"/>
        <n v="391"/>
        <n v="253"/>
        <n v="126.5"/>
        <n v="1955"/>
        <n v="2484"/>
        <n v="402.5"/>
        <n v="241.5"/>
        <n v="523.25"/>
        <n v="4025"/>
        <n v="120.75"/>
        <n v="1207.5"/>
        <n v="644"/>
        <n v="948.75"/>
        <n v="161"/>
        <n v="6325"/>
        <n v="4784"/>
        <n v="17595"/>
        <n v="362.25"/>
        <n v="4807"/>
        <n v="201.25"/>
        <n v="189.75"/>
        <n v="299"/>
        <n v="1012"/>
        <n v="379.5"/>
        <n v="327.75"/>
        <n v="1518"/>
        <n v="724.5"/>
        <n v="1638.75"/>
        <n v="2932.5"/>
        <n v="1449"/>
        <n v="3036"/>
        <n v="172.5"/>
        <n v="822.25"/>
        <n v="16617.5"/>
        <n v="368"/>
        <n v="13685"/>
        <n v="2898"/>
        <n v="764.75"/>
        <n v="3542"/>
        <n v="5175"/>
        <n v="1656"/>
        <n v="115"/>
        <n v="11500"/>
        <n v="736"/>
        <n v="4887.5"/>
        <n v="695.75"/>
        <n v="14662.5"/>
        <n v="12707.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  <x v="0"/>
    <x v="0"/>
    <x v="0"/>
    <x v="0"/>
    <x v="0"/>
    <x v="0"/>
    <x v="0"/>
    <x v="0"/>
    <x v="0"/>
    <x v="0"/>
    <x v="0"/>
  </r>
  <r>
    <x v="1"/>
    <x v="0"/>
    <x v="0"/>
    <x v="1"/>
    <x v="1"/>
    <x v="1"/>
    <x v="1"/>
    <x v="1"/>
    <x v="1"/>
    <x v="1"/>
    <x v="1"/>
    <x v="1"/>
  </r>
  <r>
    <x v="2"/>
    <x v="0"/>
    <x v="0"/>
    <x v="0"/>
    <x v="2"/>
    <x v="2"/>
    <x v="2"/>
    <x v="2"/>
    <x v="2"/>
    <x v="2"/>
    <x v="2"/>
    <x v="2"/>
  </r>
  <r>
    <x v="3"/>
    <x v="0"/>
    <x v="0"/>
    <x v="0"/>
    <x v="0"/>
    <x v="3"/>
    <x v="3"/>
    <x v="3"/>
    <x v="3"/>
    <x v="3"/>
    <x v="3"/>
    <x v="3"/>
  </r>
  <r>
    <x v="4"/>
    <x v="0"/>
    <x v="0"/>
    <x v="2"/>
    <x v="3"/>
    <x v="3"/>
    <x v="4"/>
    <x v="3"/>
    <x v="4"/>
    <x v="4"/>
    <x v="4"/>
    <x v="4"/>
  </r>
  <r>
    <x v="5"/>
    <x v="0"/>
    <x v="0"/>
    <x v="3"/>
    <x v="4"/>
    <x v="4"/>
    <x v="5"/>
    <x v="4"/>
    <x v="5"/>
    <x v="5"/>
    <x v="5"/>
    <x v="5"/>
  </r>
  <r>
    <x v="6"/>
    <x v="0"/>
    <x v="0"/>
    <x v="1"/>
    <x v="5"/>
    <x v="5"/>
    <x v="5"/>
    <x v="5"/>
    <x v="6"/>
    <x v="6"/>
    <x v="6"/>
    <x v="6"/>
  </r>
  <r>
    <x v="7"/>
    <x v="0"/>
    <x v="0"/>
    <x v="4"/>
    <x v="1"/>
    <x v="6"/>
    <x v="1"/>
    <x v="6"/>
    <x v="7"/>
    <x v="7"/>
    <x v="7"/>
    <x v="7"/>
  </r>
  <r>
    <x v="8"/>
    <x v="0"/>
    <x v="0"/>
    <x v="5"/>
    <x v="4"/>
    <x v="5"/>
    <x v="1"/>
    <x v="5"/>
    <x v="8"/>
    <x v="8"/>
    <x v="8"/>
    <x v="8"/>
  </r>
  <r>
    <x v="9"/>
    <x v="0"/>
    <x v="0"/>
    <x v="6"/>
    <x v="2"/>
    <x v="2"/>
    <x v="6"/>
    <x v="2"/>
    <x v="9"/>
    <x v="9"/>
    <x v="9"/>
    <x v="9"/>
  </r>
  <r>
    <x v="10"/>
    <x v="0"/>
    <x v="0"/>
    <x v="1"/>
    <x v="4"/>
    <x v="0"/>
    <x v="7"/>
    <x v="7"/>
    <x v="10"/>
    <x v="10"/>
    <x v="10"/>
    <x v="10"/>
  </r>
  <r>
    <x v="11"/>
    <x v="0"/>
    <x v="0"/>
    <x v="7"/>
    <x v="2"/>
    <x v="3"/>
    <x v="8"/>
    <x v="3"/>
    <x v="11"/>
    <x v="11"/>
    <x v="11"/>
    <x v="11"/>
  </r>
  <r>
    <x v="12"/>
    <x v="0"/>
    <x v="0"/>
    <x v="4"/>
    <x v="6"/>
    <x v="2"/>
    <x v="9"/>
    <x v="2"/>
    <x v="12"/>
    <x v="12"/>
    <x v="12"/>
    <x v="12"/>
  </r>
  <r>
    <x v="13"/>
    <x v="0"/>
    <x v="0"/>
    <x v="4"/>
    <x v="4"/>
    <x v="3"/>
    <x v="3"/>
    <x v="3"/>
    <x v="3"/>
    <x v="3"/>
    <x v="3"/>
    <x v="3"/>
  </r>
  <r>
    <x v="14"/>
    <x v="0"/>
    <x v="0"/>
    <x v="0"/>
    <x v="7"/>
    <x v="1"/>
    <x v="10"/>
    <x v="1"/>
    <x v="13"/>
    <x v="13"/>
    <x v="13"/>
    <x v="13"/>
  </r>
  <r>
    <x v="15"/>
    <x v="0"/>
    <x v="0"/>
    <x v="8"/>
    <x v="4"/>
    <x v="4"/>
    <x v="8"/>
    <x v="4"/>
    <x v="14"/>
    <x v="14"/>
    <x v="14"/>
    <x v="14"/>
  </r>
  <r>
    <x v="16"/>
    <x v="0"/>
    <x v="0"/>
    <x v="7"/>
    <x v="1"/>
    <x v="3"/>
    <x v="7"/>
    <x v="3"/>
    <x v="15"/>
    <x v="15"/>
    <x v="15"/>
    <x v="15"/>
  </r>
  <r>
    <x v="17"/>
    <x v="0"/>
    <x v="0"/>
    <x v="2"/>
    <x v="2"/>
    <x v="7"/>
    <x v="9"/>
    <x v="8"/>
    <x v="16"/>
    <x v="16"/>
    <x v="16"/>
    <x v="16"/>
  </r>
  <r>
    <x v="18"/>
    <x v="0"/>
    <x v="0"/>
    <x v="4"/>
    <x v="5"/>
    <x v="4"/>
    <x v="5"/>
    <x v="4"/>
    <x v="5"/>
    <x v="5"/>
    <x v="5"/>
    <x v="5"/>
  </r>
  <r>
    <x v="19"/>
    <x v="0"/>
    <x v="0"/>
    <x v="7"/>
    <x v="8"/>
    <x v="1"/>
    <x v="4"/>
    <x v="1"/>
    <x v="17"/>
    <x v="17"/>
    <x v="17"/>
    <x v="17"/>
  </r>
  <r>
    <x v="20"/>
    <x v="1"/>
    <x v="0"/>
    <x v="5"/>
    <x v="7"/>
    <x v="6"/>
    <x v="6"/>
    <x v="6"/>
    <x v="18"/>
    <x v="18"/>
    <x v="18"/>
    <x v="18"/>
  </r>
  <r>
    <x v="21"/>
    <x v="1"/>
    <x v="0"/>
    <x v="5"/>
    <x v="2"/>
    <x v="0"/>
    <x v="11"/>
    <x v="7"/>
    <x v="19"/>
    <x v="19"/>
    <x v="19"/>
    <x v="19"/>
  </r>
  <r>
    <x v="22"/>
    <x v="1"/>
    <x v="0"/>
    <x v="8"/>
    <x v="1"/>
    <x v="8"/>
    <x v="12"/>
    <x v="9"/>
    <x v="15"/>
    <x v="15"/>
    <x v="15"/>
    <x v="15"/>
  </r>
  <r>
    <x v="23"/>
    <x v="1"/>
    <x v="0"/>
    <x v="0"/>
    <x v="4"/>
    <x v="6"/>
    <x v="3"/>
    <x v="6"/>
    <x v="11"/>
    <x v="11"/>
    <x v="11"/>
    <x v="11"/>
  </r>
  <r>
    <x v="24"/>
    <x v="1"/>
    <x v="0"/>
    <x v="4"/>
    <x v="2"/>
    <x v="5"/>
    <x v="12"/>
    <x v="5"/>
    <x v="20"/>
    <x v="20"/>
    <x v="20"/>
    <x v="20"/>
  </r>
  <r>
    <x v="25"/>
    <x v="1"/>
    <x v="0"/>
    <x v="9"/>
    <x v="4"/>
    <x v="5"/>
    <x v="5"/>
    <x v="5"/>
    <x v="6"/>
    <x v="6"/>
    <x v="6"/>
    <x v="6"/>
  </r>
  <r>
    <x v="26"/>
    <x v="1"/>
    <x v="0"/>
    <x v="8"/>
    <x v="0"/>
    <x v="0"/>
    <x v="1"/>
    <x v="7"/>
    <x v="21"/>
    <x v="21"/>
    <x v="21"/>
    <x v="21"/>
  </r>
  <r>
    <x v="27"/>
    <x v="1"/>
    <x v="0"/>
    <x v="0"/>
    <x v="6"/>
    <x v="6"/>
    <x v="10"/>
    <x v="6"/>
    <x v="22"/>
    <x v="22"/>
    <x v="22"/>
    <x v="22"/>
  </r>
  <r>
    <x v="28"/>
    <x v="1"/>
    <x v="0"/>
    <x v="4"/>
    <x v="4"/>
    <x v="6"/>
    <x v="13"/>
    <x v="6"/>
    <x v="23"/>
    <x v="23"/>
    <x v="23"/>
    <x v="23"/>
  </r>
  <r>
    <x v="29"/>
    <x v="1"/>
    <x v="0"/>
    <x v="9"/>
    <x v="7"/>
    <x v="5"/>
    <x v="14"/>
    <x v="5"/>
    <x v="24"/>
    <x v="24"/>
    <x v="24"/>
    <x v="24"/>
  </r>
  <r>
    <x v="30"/>
    <x v="1"/>
    <x v="0"/>
    <x v="8"/>
    <x v="1"/>
    <x v="0"/>
    <x v="7"/>
    <x v="7"/>
    <x v="10"/>
    <x v="10"/>
    <x v="10"/>
    <x v="10"/>
  </r>
  <r>
    <x v="31"/>
    <x v="1"/>
    <x v="0"/>
    <x v="7"/>
    <x v="9"/>
    <x v="6"/>
    <x v="3"/>
    <x v="6"/>
    <x v="11"/>
    <x v="11"/>
    <x v="11"/>
    <x v="11"/>
  </r>
  <r>
    <x v="32"/>
    <x v="1"/>
    <x v="0"/>
    <x v="2"/>
    <x v="3"/>
    <x v="9"/>
    <x v="11"/>
    <x v="10"/>
    <x v="25"/>
    <x v="25"/>
    <x v="25"/>
    <x v="25"/>
  </r>
  <r>
    <x v="33"/>
    <x v="1"/>
    <x v="0"/>
    <x v="4"/>
    <x v="0"/>
    <x v="3"/>
    <x v="2"/>
    <x v="3"/>
    <x v="26"/>
    <x v="26"/>
    <x v="26"/>
    <x v="26"/>
  </r>
  <r>
    <x v="34"/>
    <x v="1"/>
    <x v="0"/>
    <x v="9"/>
    <x v="7"/>
    <x v="5"/>
    <x v="1"/>
    <x v="5"/>
    <x v="8"/>
    <x v="8"/>
    <x v="8"/>
    <x v="8"/>
  </r>
  <r>
    <x v="35"/>
    <x v="1"/>
    <x v="0"/>
    <x v="3"/>
    <x v="4"/>
    <x v="1"/>
    <x v="13"/>
    <x v="1"/>
    <x v="27"/>
    <x v="27"/>
    <x v="27"/>
    <x v="27"/>
  </r>
  <r>
    <x v="36"/>
    <x v="1"/>
    <x v="0"/>
    <x v="9"/>
    <x v="7"/>
    <x v="6"/>
    <x v="12"/>
    <x v="6"/>
    <x v="28"/>
    <x v="28"/>
    <x v="28"/>
    <x v="28"/>
  </r>
  <r>
    <x v="37"/>
    <x v="2"/>
    <x v="0"/>
    <x v="4"/>
    <x v="7"/>
    <x v="3"/>
    <x v="15"/>
    <x v="3"/>
    <x v="29"/>
    <x v="29"/>
    <x v="29"/>
    <x v="29"/>
  </r>
  <r>
    <x v="38"/>
    <x v="2"/>
    <x v="0"/>
    <x v="9"/>
    <x v="7"/>
    <x v="8"/>
    <x v="1"/>
    <x v="9"/>
    <x v="30"/>
    <x v="30"/>
    <x v="30"/>
    <x v="30"/>
  </r>
  <r>
    <x v="39"/>
    <x v="2"/>
    <x v="0"/>
    <x v="3"/>
    <x v="2"/>
    <x v="8"/>
    <x v="16"/>
    <x v="9"/>
    <x v="31"/>
    <x v="31"/>
    <x v="31"/>
    <x v="31"/>
  </r>
  <r>
    <x v="40"/>
    <x v="2"/>
    <x v="0"/>
    <x v="4"/>
    <x v="1"/>
    <x v="4"/>
    <x v="17"/>
    <x v="4"/>
    <x v="32"/>
    <x v="32"/>
    <x v="32"/>
    <x v="32"/>
  </r>
  <r>
    <x v="41"/>
    <x v="2"/>
    <x v="0"/>
    <x v="6"/>
    <x v="3"/>
    <x v="0"/>
    <x v="7"/>
    <x v="7"/>
    <x v="10"/>
    <x v="10"/>
    <x v="10"/>
    <x v="10"/>
  </r>
  <r>
    <x v="42"/>
    <x v="2"/>
    <x v="0"/>
    <x v="6"/>
    <x v="1"/>
    <x v="9"/>
    <x v="17"/>
    <x v="10"/>
    <x v="33"/>
    <x v="33"/>
    <x v="33"/>
    <x v="33"/>
  </r>
  <r>
    <x v="43"/>
    <x v="2"/>
    <x v="0"/>
    <x v="1"/>
    <x v="5"/>
    <x v="1"/>
    <x v="12"/>
    <x v="1"/>
    <x v="34"/>
    <x v="34"/>
    <x v="34"/>
    <x v="34"/>
  </r>
  <r>
    <x v="44"/>
    <x v="2"/>
    <x v="0"/>
    <x v="0"/>
    <x v="1"/>
    <x v="0"/>
    <x v="11"/>
    <x v="7"/>
    <x v="19"/>
    <x v="19"/>
    <x v="19"/>
    <x v="19"/>
  </r>
  <r>
    <x v="45"/>
    <x v="2"/>
    <x v="0"/>
    <x v="1"/>
    <x v="0"/>
    <x v="5"/>
    <x v="18"/>
    <x v="5"/>
    <x v="35"/>
    <x v="35"/>
    <x v="35"/>
    <x v="35"/>
  </r>
  <r>
    <x v="46"/>
    <x v="2"/>
    <x v="0"/>
    <x v="1"/>
    <x v="7"/>
    <x v="5"/>
    <x v="15"/>
    <x v="5"/>
    <x v="36"/>
    <x v="36"/>
    <x v="36"/>
    <x v="36"/>
  </r>
  <r>
    <x v="47"/>
    <x v="2"/>
    <x v="0"/>
    <x v="2"/>
    <x v="9"/>
    <x v="5"/>
    <x v="13"/>
    <x v="5"/>
    <x v="37"/>
    <x v="37"/>
    <x v="37"/>
    <x v="37"/>
  </r>
  <r>
    <x v="48"/>
    <x v="2"/>
    <x v="0"/>
    <x v="3"/>
    <x v="5"/>
    <x v="0"/>
    <x v="6"/>
    <x v="7"/>
    <x v="38"/>
    <x v="38"/>
    <x v="38"/>
    <x v="38"/>
  </r>
  <r>
    <x v="49"/>
    <x v="2"/>
    <x v="0"/>
    <x v="6"/>
    <x v="7"/>
    <x v="5"/>
    <x v="1"/>
    <x v="5"/>
    <x v="8"/>
    <x v="8"/>
    <x v="8"/>
    <x v="8"/>
  </r>
  <r>
    <x v="50"/>
    <x v="2"/>
    <x v="0"/>
    <x v="7"/>
    <x v="3"/>
    <x v="5"/>
    <x v="19"/>
    <x v="5"/>
    <x v="39"/>
    <x v="39"/>
    <x v="39"/>
    <x v="39"/>
  </r>
  <r>
    <x v="51"/>
    <x v="2"/>
    <x v="0"/>
    <x v="7"/>
    <x v="6"/>
    <x v="6"/>
    <x v="14"/>
    <x v="6"/>
    <x v="40"/>
    <x v="40"/>
    <x v="40"/>
    <x v="40"/>
  </r>
  <r>
    <x v="52"/>
    <x v="2"/>
    <x v="0"/>
    <x v="6"/>
    <x v="7"/>
    <x v="5"/>
    <x v="7"/>
    <x v="5"/>
    <x v="41"/>
    <x v="41"/>
    <x v="41"/>
    <x v="41"/>
  </r>
  <r>
    <x v="53"/>
    <x v="2"/>
    <x v="0"/>
    <x v="5"/>
    <x v="5"/>
    <x v="4"/>
    <x v="10"/>
    <x v="4"/>
    <x v="42"/>
    <x v="42"/>
    <x v="42"/>
    <x v="42"/>
  </r>
  <r>
    <x v="54"/>
    <x v="3"/>
    <x v="0"/>
    <x v="2"/>
    <x v="3"/>
    <x v="8"/>
    <x v="6"/>
    <x v="9"/>
    <x v="43"/>
    <x v="43"/>
    <x v="43"/>
    <x v="43"/>
  </r>
  <r>
    <x v="55"/>
    <x v="3"/>
    <x v="0"/>
    <x v="5"/>
    <x v="9"/>
    <x v="0"/>
    <x v="16"/>
    <x v="7"/>
    <x v="44"/>
    <x v="44"/>
    <x v="44"/>
    <x v="44"/>
  </r>
  <r>
    <x v="56"/>
    <x v="3"/>
    <x v="0"/>
    <x v="1"/>
    <x v="1"/>
    <x v="3"/>
    <x v="7"/>
    <x v="3"/>
    <x v="15"/>
    <x v="15"/>
    <x v="15"/>
    <x v="15"/>
  </r>
  <r>
    <x v="57"/>
    <x v="3"/>
    <x v="0"/>
    <x v="5"/>
    <x v="5"/>
    <x v="7"/>
    <x v="13"/>
    <x v="8"/>
    <x v="45"/>
    <x v="45"/>
    <x v="45"/>
    <x v="45"/>
  </r>
  <r>
    <x v="58"/>
    <x v="3"/>
    <x v="0"/>
    <x v="5"/>
    <x v="5"/>
    <x v="9"/>
    <x v="2"/>
    <x v="10"/>
    <x v="46"/>
    <x v="46"/>
    <x v="46"/>
    <x v="46"/>
  </r>
  <r>
    <x v="59"/>
    <x v="3"/>
    <x v="0"/>
    <x v="4"/>
    <x v="6"/>
    <x v="5"/>
    <x v="4"/>
    <x v="5"/>
    <x v="47"/>
    <x v="47"/>
    <x v="47"/>
    <x v="47"/>
  </r>
  <r>
    <x v="60"/>
    <x v="3"/>
    <x v="0"/>
    <x v="1"/>
    <x v="6"/>
    <x v="2"/>
    <x v="11"/>
    <x v="2"/>
    <x v="48"/>
    <x v="48"/>
    <x v="48"/>
    <x v="48"/>
  </r>
  <r>
    <x v="61"/>
    <x v="3"/>
    <x v="0"/>
    <x v="5"/>
    <x v="9"/>
    <x v="5"/>
    <x v="8"/>
    <x v="5"/>
    <x v="49"/>
    <x v="49"/>
    <x v="49"/>
    <x v="49"/>
  </r>
  <r>
    <x v="62"/>
    <x v="3"/>
    <x v="0"/>
    <x v="5"/>
    <x v="4"/>
    <x v="4"/>
    <x v="19"/>
    <x v="4"/>
    <x v="50"/>
    <x v="50"/>
    <x v="50"/>
    <x v="50"/>
  </r>
  <r>
    <x v="63"/>
    <x v="3"/>
    <x v="0"/>
    <x v="4"/>
    <x v="7"/>
    <x v="8"/>
    <x v="13"/>
    <x v="9"/>
    <x v="51"/>
    <x v="51"/>
    <x v="51"/>
    <x v="51"/>
  </r>
  <r>
    <x v="64"/>
    <x v="3"/>
    <x v="0"/>
    <x v="3"/>
    <x v="3"/>
    <x v="2"/>
    <x v="0"/>
    <x v="2"/>
    <x v="52"/>
    <x v="52"/>
    <x v="52"/>
    <x v="52"/>
  </r>
  <r>
    <x v="65"/>
    <x v="3"/>
    <x v="0"/>
    <x v="5"/>
    <x v="4"/>
    <x v="4"/>
    <x v="15"/>
    <x v="4"/>
    <x v="53"/>
    <x v="53"/>
    <x v="53"/>
    <x v="53"/>
  </r>
  <r>
    <x v="66"/>
    <x v="3"/>
    <x v="0"/>
    <x v="5"/>
    <x v="1"/>
    <x v="3"/>
    <x v="11"/>
    <x v="3"/>
    <x v="54"/>
    <x v="54"/>
    <x v="54"/>
    <x v="54"/>
  </r>
  <r>
    <x v="67"/>
    <x v="3"/>
    <x v="0"/>
    <x v="5"/>
    <x v="5"/>
    <x v="4"/>
    <x v="17"/>
    <x v="4"/>
    <x v="32"/>
    <x v="32"/>
    <x v="32"/>
    <x v="32"/>
  </r>
  <r>
    <x v="68"/>
    <x v="3"/>
    <x v="0"/>
    <x v="8"/>
    <x v="1"/>
    <x v="2"/>
    <x v="15"/>
    <x v="2"/>
    <x v="55"/>
    <x v="55"/>
    <x v="55"/>
    <x v="55"/>
  </r>
  <r>
    <x v="69"/>
    <x v="3"/>
    <x v="0"/>
    <x v="8"/>
    <x v="4"/>
    <x v="5"/>
    <x v="2"/>
    <x v="5"/>
    <x v="56"/>
    <x v="56"/>
    <x v="56"/>
    <x v="56"/>
  </r>
  <r>
    <x v="70"/>
    <x v="3"/>
    <x v="0"/>
    <x v="2"/>
    <x v="9"/>
    <x v="6"/>
    <x v="11"/>
    <x v="6"/>
    <x v="57"/>
    <x v="57"/>
    <x v="57"/>
    <x v="57"/>
  </r>
  <r>
    <x v="71"/>
    <x v="4"/>
    <x v="0"/>
    <x v="5"/>
    <x v="1"/>
    <x v="9"/>
    <x v="19"/>
    <x v="10"/>
    <x v="58"/>
    <x v="58"/>
    <x v="58"/>
    <x v="58"/>
  </r>
  <r>
    <x v="72"/>
    <x v="4"/>
    <x v="0"/>
    <x v="5"/>
    <x v="0"/>
    <x v="3"/>
    <x v="7"/>
    <x v="3"/>
    <x v="15"/>
    <x v="15"/>
    <x v="15"/>
    <x v="15"/>
  </r>
  <r>
    <x v="73"/>
    <x v="4"/>
    <x v="0"/>
    <x v="8"/>
    <x v="8"/>
    <x v="1"/>
    <x v="6"/>
    <x v="1"/>
    <x v="59"/>
    <x v="59"/>
    <x v="59"/>
    <x v="59"/>
  </r>
  <r>
    <x v="74"/>
    <x v="4"/>
    <x v="0"/>
    <x v="2"/>
    <x v="5"/>
    <x v="2"/>
    <x v="12"/>
    <x v="2"/>
    <x v="60"/>
    <x v="60"/>
    <x v="60"/>
    <x v="60"/>
  </r>
  <r>
    <x v="75"/>
    <x v="4"/>
    <x v="0"/>
    <x v="9"/>
    <x v="9"/>
    <x v="2"/>
    <x v="2"/>
    <x v="2"/>
    <x v="2"/>
    <x v="2"/>
    <x v="2"/>
    <x v="2"/>
  </r>
  <r>
    <x v="76"/>
    <x v="4"/>
    <x v="0"/>
    <x v="0"/>
    <x v="0"/>
    <x v="6"/>
    <x v="17"/>
    <x v="6"/>
    <x v="61"/>
    <x v="61"/>
    <x v="61"/>
    <x v="61"/>
  </r>
  <r>
    <x v="77"/>
    <x v="4"/>
    <x v="0"/>
    <x v="2"/>
    <x v="6"/>
    <x v="4"/>
    <x v="13"/>
    <x v="4"/>
    <x v="62"/>
    <x v="62"/>
    <x v="62"/>
    <x v="62"/>
  </r>
  <r>
    <x v="78"/>
    <x v="4"/>
    <x v="0"/>
    <x v="6"/>
    <x v="0"/>
    <x v="5"/>
    <x v="1"/>
    <x v="5"/>
    <x v="8"/>
    <x v="8"/>
    <x v="8"/>
    <x v="8"/>
  </r>
  <r>
    <x v="79"/>
    <x v="5"/>
    <x v="0"/>
    <x v="3"/>
    <x v="8"/>
    <x v="0"/>
    <x v="16"/>
    <x v="7"/>
    <x v="44"/>
    <x v="44"/>
    <x v="44"/>
    <x v="44"/>
  </r>
  <r>
    <x v="80"/>
    <x v="6"/>
    <x v="0"/>
    <x v="8"/>
    <x v="1"/>
    <x v="9"/>
    <x v="1"/>
    <x v="10"/>
    <x v="63"/>
    <x v="63"/>
    <x v="63"/>
    <x v="63"/>
  </r>
  <r>
    <x v="81"/>
    <x v="6"/>
    <x v="0"/>
    <x v="1"/>
    <x v="0"/>
    <x v="2"/>
    <x v="2"/>
    <x v="2"/>
    <x v="2"/>
    <x v="2"/>
    <x v="2"/>
    <x v="2"/>
  </r>
  <r>
    <x v="82"/>
    <x v="6"/>
    <x v="0"/>
    <x v="4"/>
    <x v="8"/>
    <x v="7"/>
    <x v="3"/>
    <x v="8"/>
    <x v="64"/>
    <x v="64"/>
    <x v="64"/>
    <x v="64"/>
  </r>
  <r>
    <x v="83"/>
    <x v="5"/>
    <x v="0"/>
    <x v="3"/>
    <x v="7"/>
    <x v="9"/>
    <x v="14"/>
    <x v="10"/>
    <x v="65"/>
    <x v="65"/>
    <x v="65"/>
    <x v="65"/>
  </r>
  <r>
    <x v="84"/>
    <x v="6"/>
    <x v="0"/>
    <x v="5"/>
    <x v="7"/>
    <x v="1"/>
    <x v="14"/>
    <x v="1"/>
    <x v="66"/>
    <x v="66"/>
    <x v="66"/>
    <x v="66"/>
  </r>
  <r>
    <x v="85"/>
    <x v="7"/>
    <x v="0"/>
    <x v="7"/>
    <x v="9"/>
    <x v="5"/>
    <x v="18"/>
    <x v="5"/>
    <x v="35"/>
    <x v="35"/>
    <x v="35"/>
    <x v="35"/>
  </r>
  <r>
    <x v="86"/>
    <x v="7"/>
    <x v="0"/>
    <x v="2"/>
    <x v="0"/>
    <x v="7"/>
    <x v="13"/>
    <x v="8"/>
    <x v="45"/>
    <x v="45"/>
    <x v="45"/>
    <x v="45"/>
  </r>
  <r>
    <x v="87"/>
    <x v="5"/>
    <x v="0"/>
    <x v="0"/>
    <x v="1"/>
    <x v="5"/>
    <x v="11"/>
    <x v="5"/>
    <x v="67"/>
    <x v="67"/>
    <x v="67"/>
    <x v="67"/>
  </r>
  <r>
    <x v="88"/>
    <x v="7"/>
    <x v="0"/>
    <x v="8"/>
    <x v="1"/>
    <x v="2"/>
    <x v="14"/>
    <x v="2"/>
    <x v="68"/>
    <x v="68"/>
    <x v="68"/>
    <x v="68"/>
  </r>
  <r>
    <x v="89"/>
    <x v="2"/>
    <x v="0"/>
    <x v="4"/>
    <x v="3"/>
    <x v="0"/>
    <x v="4"/>
    <x v="7"/>
    <x v="69"/>
    <x v="69"/>
    <x v="69"/>
    <x v="69"/>
  </r>
  <r>
    <x v="90"/>
    <x v="2"/>
    <x v="0"/>
    <x v="8"/>
    <x v="8"/>
    <x v="1"/>
    <x v="9"/>
    <x v="1"/>
    <x v="70"/>
    <x v="70"/>
    <x v="70"/>
    <x v="70"/>
  </r>
  <r>
    <x v="91"/>
    <x v="2"/>
    <x v="0"/>
    <x v="5"/>
    <x v="6"/>
    <x v="5"/>
    <x v="2"/>
    <x v="5"/>
    <x v="56"/>
    <x v="56"/>
    <x v="56"/>
    <x v="56"/>
  </r>
  <r>
    <x v="92"/>
    <x v="2"/>
    <x v="0"/>
    <x v="7"/>
    <x v="2"/>
    <x v="8"/>
    <x v="8"/>
    <x v="9"/>
    <x v="71"/>
    <x v="71"/>
    <x v="71"/>
    <x v="71"/>
  </r>
  <r>
    <x v="93"/>
    <x v="2"/>
    <x v="0"/>
    <x v="3"/>
    <x v="9"/>
    <x v="0"/>
    <x v="5"/>
    <x v="7"/>
    <x v="72"/>
    <x v="72"/>
    <x v="72"/>
    <x v="72"/>
  </r>
  <r>
    <x v="94"/>
    <x v="6"/>
    <x v="0"/>
    <x v="9"/>
    <x v="6"/>
    <x v="3"/>
    <x v="3"/>
    <x v="3"/>
    <x v="3"/>
    <x v="3"/>
    <x v="3"/>
    <x v="3"/>
  </r>
  <r>
    <x v="95"/>
    <x v="6"/>
    <x v="0"/>
    <x v="4"/>
    <x v="4"/>
    <x v="7"/>
    <x v="17"/>
    <x v="8"/>
    <x v="73"/>
    <x v="73"/>
    <x v="73"/>
    <x v="73"/>
  </r>
  <r>
    <x v="96"/>
    <x v="6"/>
    <x v="0"/>
    <x v="6"/>
    <x v="5"/>
    <x v="9"/>
    <x v="8"/>
    <x v="10"/>
    <x v="74"/>
    <x v="74"/>
    <x v="74"/>
    <x v="74"/>
  </r>
  <r>
    <x v="97"/>
    <x v="5"/>
    <x v="0"/>
    <x v="0"/>
    <x v="0"/>
    <x v="4"/>
    <x v="16"/>
    <x v="4"/>
    <x v="75"/>
    <x v="75"/>
    <x v="75"/>
    <x v="75"/>
  </r>
  <r>
    <x v="98"/>
    <x v="8"/>
    <x v="0"/>
    <x v="4"/>
    <x v="4"/>
    <x v="9"/>
    <x v="10"/>
    <x v="10"/>
    <x v="76"/>
    <x v="76"/>
    <x v="76"/>
    <x v="76"/>
  </r>
  <r>
    <x v="99"/>
    <x v="5"/>
    <x v="0"/>
    <x v="7"/>
    <x v="0"/>
    <x v="9"/>
    <x v="13"/>
    <x v="10"/>
    <x v="77"/>
    <x v="77"/>
    <x v="77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5" useAutoFormatting="1" compact="0" indent="0" outline="1" compactData="0" outlineData="1" showDrill="1" multipleFieldFilters="0" chartFormat="6">
  <location ref="A3:B12" firstHeaderRow="1" firstDataRow="1" firstDataCol="1"/>
  <pivotFields count="12">
    <pivotField compact="0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compact="0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1">
        <item x="0"/>
        <item x="9"/>
        <item x="4"/>
        <item x="3"/>
        <item x="1"/>
        <item x="2"/>
        <item x="7"/>
        <item x="6"/>
        <item x="8"/>
        <item x="5"/>
        <item t="default"/>
      </items>
    </pivotField>
    <pivotField compact="0" sortType="descending" showAll="0">
      <items count="11">
        <item h="1" x="9"/>
        <item h="1" x="5"/>
        <item h="1" x="2"/>
        <item h="1" x="6"/>
        <item x="0"/>
        <item h="1" x="1"/>
        <item h="1" x="8"/>
        <item h="1" x="4"/>
        <item h="1" x="3"/>
        <item h="1" x="7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showAll="0">
      <items count="11">
        <item x="4"/>
        <item x="5"/>
        <item x="9"/>
        <item x="2"/>
        <item x="8"/>
        <item x="1"/>
        <item x="0"/>
        <item x="7"/>
        <item x="3"/>
        <item x="6"/>
        <item t="default"/>
      </items>
    </pivotField>
    <pivotField compact="0" showAll="0">
      <items count="21">
        <item x="3"/>
        <item x="17"/>
        <item x="19"/>
        <item x="0"/>
        <item x="8"/>
        <item x="15"/>
        <item x="6"/>
        <item x="9"/>
        <item x="4"/>
        <item x="18"/>
        <item x="16"/>
        <item x="12"/>
        <item x="13"/>
        <item x="14"/>
        <item x="10"/>
        <item x="7"/>
        <item x="1"/>
        <item x="2"/>
        <item x="11"/>
        <item x="5"/>
        <item t="default"/>
      </items>
    </pivotField>
    <pivotField compact="0" showAll="0">
      <items count="12">
        <item x="3"/>
        <item x="9"/>
        <item x="5"/>
        <item x="4"/>
        <item x="6"/>
        <item x="1"/>
        <item x="2"/>
        <item x="8"/>
        <item x="7"/>
        <item x="10"/>
        <item x="0"/>
        <item t="default"/>
      </items>
    </pivotField>
    <pivotField dataField="1" compact="0" showAll="0">
      <items count="79">
        <item x="3"/>
        <item x="11"/>
        <item x="29"/>
        <item x="71"/>
        <item x="39"/>
        <item x="32"/>
        <item x="4"/>
        <item x="43"/>
        <item x="61"/>
        <item x="50"/>
        <item x="49"/>
        <item x="36"/>
        <item x="31"/>
        <item x="15"/>
        <item x="51"/>
        <item x="26"/>
        <item x="14"/>
        <item x="54"/>
        <item x="47"/>
        <item x="64"/>
        <item x="53"/>
        <item x="30"/>
        <item x="35"/>
        <item x="20"/>
        <item x="37"/>
        <item x="24"/>
        <item x="18"/>
        <item x="41"/>
        <item x="8"/>
        <item x="75"/>
        <item x="56"/>
        <item x="73"/>
        <item x="67"/>
        <item x="6"/>
        <item x="62"/>
        <item x="42"/>
        <item x="52"/>
        <item x="28"/>
        <item x="23"/>
        <item x="40"/>
        <item x="5"/>
        <item x="22"/>
        <item x="59"/>
        <item x="7"/>
        <item x="55"/>
        <item x="57"/>
        <item x="70"/>
        <item x="9"/>
        <item x="17"/>
        <item x="33"/>
        <item x="12"/>
        <item x="34"/>
        <item x="27"/>
        <item x="66"/>
        <item x="58"/>
        <item x="16"/>
        <item x="60"/>
        <item x="13"/>
        <item x="1"/>
        <item x="68"/>
        <item x="38"/>
        <item x="2"/>
        <item x="45"/>
        <item x="48"/>
        <item x="74"/>
        <item x="69"/>
        <item x="0"/>
        <item x="44"/>
        <item x="10"/>
        <item x="21"/>
        <item x="19"/>
        <item x="72"/>
        <item x="77"/>
        <item x="65"/>
        <item x="76"/>
        <item x="63"/>
        <item x="46"/>
        <item x="25"/>
        <item t="default"/>
      </items>
    </pivotField>
    <pivotField compact="0" showAll="0">
      <items count="79">
        <item x="3"/>
        <item x="11"/>
        <item x="29"/>
        <item x="71"/>
        <item x="39"/>
        <item x="32"/>
        <item x="4"/>
        <item x="43"/>
        <item x="61"/>
        <item x="50"/>
        <item x="49"/>
        <item x="36"/>
        <item x="31"/>
        <item x="15"/>
        <item x="51"/>
        <item x="26"/>
        <item x="14"/>
        <item x="54"/>
        <item x="47"/>
        <item x="64"/>
        <item x="53"/>
        <item x="30"/>
        <item x="35"/>
        <item x="20"/>
        <item x="37"/>
        <item x="24"/>
        <item x="18"/>
        <item x="41"/>
        <item x="8"/>
        <item x="75"/>
        <item x="56"/>
        <item x="73"/>
        <item x="67"/>
        <item x="6"/>
        <item x="62"/>
        <item x="42"/>
        <item x="52"/>
        <item x="28"/>
        <item x="23"/>
        <item x="40"/>
        <item x="5"/>
        <item x="22"/>
        <item x="59"/>
        <item x="7"/>
        <item x="55"/>
        <item x="57"/>
        <item x="70"/>
        <item x="9"/>
        <item x="17"/>
        <item x="33"/>
        <item x="12"/>
        <item x="34"/>
        <item x="27"/>
        <item x="66"/>
        <item x="58"/>
        <item x="16"/>
        <item x="60"/>
        <item x="13"/>
        <item x="1"/>
        <item x="68"/>
        <item x="38"/>
        <item x="2"/>
        <item x="45"/>
        <item x="48"/>
        <item x="74"/>
        <item x="69"/>
        <item x="0"/>
        <item x="44"/>
        <item x="10"/>
        <item x="21"/>
        <item x="19"/>
        <item x="72"/>
        <item x="77"/>
        <item x="65"/>
        <item x="76"/>
        <item x="63"/>
        <item x="46"/>
        <item x="25"/>
        <item t="default"/>
      </items>
    </pivotField>
    <pivotField compact="0" showAll="0">
      <items count="79">
        <item x="3"/>
        <item x="11"/>
        <item x="29"/>
        <item x="71"/>
        <item x="39"/>
        <item x="32"/>
        <item x="4"/>
        <item x="43"/>
        <item x="61"/>
        <item x="50"/>
        <item x="49"/>
        <item x="36"/>
        <item x="31"/>
        <item x="15"/>
        <item x="51"/>
        <item x="26"/>
        <item x="14"/>
        <item x="54"/>
        <item x="47"/>
        <item x="64"/>
        <item x="53"/>
        <item x="30"/>
        <item x="35"/>
        <item x="20"/>
        <item x="37"/>
        <item x="24"/>
        <item x="18"/>
        <item x="41"/>
        <item x="8"/>
        <item x="75"/>
        <item x="56"/>
        <item x="73"/>
        <item x="67"/>
        <item x="6"/>
        <item x="62"/>
        <item x="42"/>
        <item x="52"/>
        <item x="28"/>
        <item x="23"/>
        <item x="40"/>
        <item x="5"/>
        <item x="22"/>
        <item x="59"/>
        <item x="7"/>
        <item x="55"/>
        <item x="57"/>
        <item x="70"/>
        <item x="9"/>
        <item x="17"/>
        <item x="33"/>
        <item x="12"/>
        <item x="34"/>
        <item x="27"/>
        <item x="66"/>
        <item x="58"/>
        <item x="16"/>
        <item x="60"/>
        <item x="13"/>
        <item x="1"/>
        <item x="68"/>
        <item x="38"/>
        <item x="2"/>
        <item x="45"/>
        <item x="48"/>
        <item x="74"/>
        <item x="69"/>
        <item x="0"/>
        <item x="44"/>
        <item x="10"/>
        <item x="21"/>
        <item x="19"/>
        <item x="72"/>
        <item x="77"/>
        <item x="65"/>
        <item x="76"/>
        <item x="63"/>
        <item x="46"/>
        <item x="25"/>
        <item t="default"/>
      </items>
    </pivotField>
    <pivotField compact="0" showAll="0">
      <items count="79">
        <item x="3"/>
        <item x="11"/>
        <item x="29"/>
        <item x="71"/>
        <item x="39"/>
        <item x="32"/>
        <item x="4"/>
        <item x="43"/>
        <item x="61"/>
        <item x="50"/>
        <item x="49"/>
        <item x="36"/>
        <item x="31"/>
        <item x="15"/>
        <item x="51"/>
        <item x="26"/>
        <item x="14"/>
        <item x="54"/>
        <item x="47"/>
        <item x="64"/>
        <item x="53"/>
        <item x="30"/>
        <item x="35"/>
        <item x="20"/>
        <item x="37"/>
        <item x="24"/>
        <item x="18"/>
        <item x="41"/>
        <item x="8"/>
        <item x="75"/>
        <item x="56"/>
        <item x="73"/>
        <item x="67"/>
        <item x="6"/>
        <item x="62"/>
        <item x="42"/>
        <item x="52"/>
        <item x="28"/>
        <item x="23"/>
        <item x="40"/>
        <item x="5"/>
        <item x="22"/>
        <item x="59"/>
        <item x="7"/>
        <item x="55"/>
        <item x="57"/>
        <item x="70"/>
        <item x="9"/>
        <item x="17"/>
        <item x="33"/>
        <item x="12"/>
        <item x="34"/>
        <item x="27"/>
        <item x="66"/>
        <item x="58"/>
        <item x="16"/>
        <item x="60"/>
        <item x="13"/>
        <item x="1"/>
        <item x="68"/>
        <item x="38"/>
        <item x="2"/>
        <item x="45"/>
        <item x="48"/>
        <item x="74"/>
        <item x="69"/>
        <item x="0"/>
        <item x="44"/>
        <item x="10"/>
        <item x="21"/>
        <item x="19"/>
        <item x="72"/>
        <item x="77"/>
        <item x="65"/>
        <item x="76"/>
        <item x="63"/>
        <item x="46"/>
        <item x="25"/>
        <item t="default"/>
      </items>
    </pivotField>
  </pivotFields>
  <rowFields count="1">
    <field x="5"/>
  </rowFields>
  <rowItems count="9">
    <i>
      <x/>
    </i>
    <i>
      <x v="1"/>
    </i>
    <i>
      <x v="2"/>
    </i>
    <i>
      <x v="3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s" fld="8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2" name="PivotTable1"/>
  </pivotTables>
  <data>
    <tabular pivotCacheId="1">
      <items count="10">
        <i x="0" s="1"/>
        <i x="4" s="1"/>
        <i x="1" s="1"/>
        <i x="2" s="1"/>
        <i x="7" s="1"/>
        <i x="6" s="1"/>
        <i x="8" s="1"/>
        <i x="5" s="1"/>
        <i x="9" s="1" nd="1"/>
        <i x="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pivotTables>
    <pivotTable tabId="2" name="PivotTable1"/>
  </pivotTables>
  <data>
    <tabular pivotCacheId="1">
      <items count="10">
        <i x="9" s="0"/>
        <i x="5" s="0"/>
        <i x="2" s="0"/>
        <i x="6" s="0"/>
        <i x="0" s="1"/>
        <i x="1" s="0"/>
        <i x="8" s="0"/>
        <i x="4" s="0"/>
        <i x="3" s="0"/>
        <i x="7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2" name="PivotTable1"/>
  </pivotTables>
  <data>
    <tabular pivotCacheId="1">
      <items count="10">
        <i x="4" s="1"/>
        <i x="5" s="1"/>
        <i x="9" s="1"/>
        <i x="2" s="1"/>
        <i x="0" s="1"/>
        <i x="7" s="1"/>
        <i x="3" s="1"/>
        <i x="6" s="1"/>
        <i x="8" s="1" nd="1"/>
        <i x="1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ity" cache="Slicer_City" caption="City" rowHeight="225425"/>
  <slicer name="Salesperson" cache="Slicer_Salesperson" caption="Salesperson" startItem="3" rowHeight="225425"/>
  <slicer name="Product" cache="Slicer_Product" caption="Product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2"/>
  <sheetViews>
    <sheetView zoomScale="58" zoomScaleNormal="58" workbookViewId="0">
      <selection activeCell="E16" sqref="E16"/>
    </sheetView>
  </sheetViews>
  <sheetFormatPr defaultColWidth="8.72727272727273" defaultRowHeight="14.5" outlineLevelCol="1"/>
  <cols>
    <col min="1" max="1" width="11.7272727272727" customWidth="1"/>
    <col min="2" max="2" width="16.5454545454545" customWidth="1"/>
    <col min="3" max="3" width="17.6363636363636"/>
    <col min="4" max="10" width="12.3636363636364"/>
    <col min="11" max="12" width="11.5454545454545"/>
  </cols>
  <sheetData>
    <row r="3" spans="1:2">
      <c r="A3" t="s">
        <v>0</v>
      </c>
      <c r="B3" t="s">
        <v>1</v>
      </c>
    </row>
    <row r="4" spans="1:2">
      <c r="A4" t="s">
        <v>2</v>
      </c>
      <c r="B4" s="3">
        <v>605</v>
      </c>
    </row>
    <row r="5" spans="1:2">
      <c r="A5" t="s">
        <v>3</v>
      </c>
      <c r="B5" s="3">
        <v>945</v>
      </c>
    </row>
    <row r="6" spans="1:2">
      <c r="A6" t="s">
        <v>4</v>
      </c>
      <c r="B6" s="3">
        <v>11050</v>
      </c>
    </row>
    <row r="7" spans="1:2">
      <c r="A7" t="s">
        <v>5</v>
      </c>
      <c r="B7" s="3">
        <v>3960</v>
      </c>
    </row>
    <row r="8" spans="1:2">
      <c r="A8" t="s">
        <v>6</v>
      </c>
      <c r="B8" s="3">
        <v>13500</v>
      </c>
    </row>
    <row r="9" spans="1:2">
      <c r="A9" t="s">
        <v>7</v>
      </c>
      <c r="B9" s="3">
        <v>4160</v>
      </c>
    </row>
    <row r="10" spans="1:2">
      <c r="A10" t="s">
        <v>8</v>
      </c>
      <c r="B10" s="3">
        <v>525</v>
      </c>
    </row>
    <row r="11" spans="1:2">
      <c r="A11" t="s">
        <v>9</v>
      </c>
      <c r="B11" s="3">
        <v>150</v>
      </c>
    </row>
    <row r="12" spans="1:2">
      <c r="A12" t="s">
        <v>10</v>
      </c>
      <c r="B12" s="3">
        <v>34895</v>
      </c>
    </row>
  </sheetData>
  <pageMargins left="0.75" right="0.75" top="1" bottom="1" header="0.5" footer="0.5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2"/>
  <sheetViews>
    <sheetView tabSelected="1" zoomScale="64" zoomScaleNormal="64" workbookViewId="0">
      <selection activeCell="A1" sqref="A1:L101"/>
    </sheetView>
  </sheetViews>
  <sheetFormatPr defaultColWidth="9" defaultRowHeight="14.5"/>
  <cols>
    <col min="2" max="3" width="11.5454545454545" customWidth="1"/>
    <col min="4" max="4" width="15" customWidth="1"/>
    <col min="5" max="5" width="14.3636363636364" customWidth="1"/>
    <col min="6" max="6" width="13.5454545454545" customWidth="1"/>
    <col min="7" max="7" width="8" customWidth="1"/>
    <col min="8" max="8" width="10.8181818181818" customWidth="1"/>
    <col min="9" max="9" width="14.1818181818182" customWidth="1"/>
    <col min="10" max="10" width="10.3636363636364" customWidth="1"/>
  </cols>
  <sheetData>
    <row r="1" spans="1:12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0</v>
      </c>
      <c r="G1" t="s">
        <v>16</v>
      </c>
      <c r="H1" t="s">
        <v>17</v>
      </c>
      <c r="I1" t="s">
        <v>18</v>
      </c>
      <c r="J1" s="1" t="s">
        <v>19</v>
      </c>
      <c r="K1" t="s">
        <v>20</v>
      </c>
      <c r="L1" t="s">
        <v>21</v>
      </c>
    </row>
    <row r="2" spans="1:12">
      <c r="A2">
        <v>1</v>
      </c>
      <c r="B2">
        <v>1</v>
      </c>
      <c r="C2">
        <v>2025</v>
      </c>
      <c r="D2" t="s">
        <v>22</v>
      </c>
      <c r="E2" t="s">
        <v>23</v>
      </c>
      <c r="F2" t="s">
        <v>6</v>
      </c>
      <c r="G2">
        <v>4</v>
      </c>
      <c r="H2">
        <v>1250</v>
      </c>
      <c r="I2">
        <f>G2*H2</f>
        <v>5000</v>
      </c>
      <c r="J2">
        <f>I2*1.05</f>
        <v>5250</v>
      </c>
      <c r="K2">
        <f>I2*1.1</f>
        <v>5500</v>
      </c>
      <c r="L2">
        <f>I2*1.15</f>
        <v>5750</v>
      </c>
    </row>
    <row r="3" spans="1:12">
      <c r="A3">
        <v>2</v>
      </c>
      <c r="B3">
        <v>1</v>
      </c>
      <c r="C3">
        <v>2025</v>
      </c>
      <c r="D3" t="s">
        <v>24</v>
      </c>
      <c r="E3" t="s">
        <v>25</v>
      </c>
      <c r="F3" t="s">
        <v>26</v>
      </c>
      <c r="G3">
        <v>17</v>
      </c>
      <c r="H3">
        <v>180</v>
      </c>
      <c r="I3">
        <f t="shared" ref="I3:I34" si="0">G3*H3</f>
        <v>3060</v>
      </c>
      <c r="J3">
        <f t="shared" ref="J3:J34" si="1">I3*1.05</f>
        <v>3213</v>
      </c>
      <c r="K3">
        <f t="shared" ref="K3:K34" si="2">I3*1.1</f>
        <v>3366</v>
      </c>
      <c r="L3">
        <f t="shared" ref="L3:L34" si="3">I3*1.15</f>
        <v>3519</v>
      </c>
    </row>
    <row r="4" spans="1:12">
      <c r="A4">
        <v>3</v>
      </c>
      <c r="B4">
        <v>1</v>
      </c>
      <c r="C4">
        <v>2025</v>
      </c>
      <c r="D4" t="s">
        <v>22</v>
      </c>
      <c r="E4" t="s">
        <v>27</v>
      </c>
      <c r="F4" t="s">
        <v>5</v>
      </c>
      <c r="G4">
        <v>18</v>
      </c>
      <c r="H4">
        <v>220</v>
      </c>
      <c r="I4">
        <f t="shared" si="0"/>
        <v>3960</v>
      </c>
      <c r="J4">
        <f t="shared" si="1"/>
        <v>4158</v>
      </c>
      <c r="K4">
        <f t="shared" si="2"/>
        <v>4356</v>
      </c>
      <c r="L4">
        <f t="shared" si="3"/>
        <v>4554</v>
      </c>
    </row>
    <row r="5" spans="1:12">
      <c r="A5">
        <v>4</v>
      </c>
      <c r="B5">
        <v>1</v>
      </c>
      <c r="C5">
        <v>2025</v>
      </c>
      <c r="D5" t="s">
        <v>22</v>
      </c>
      <c r="E5" t="s">
        <v>23</v>
      </c>
      <c r="F5" t="s">
        <v>8</v>
      </c>
      <c r="G5">
        <v>1</v>
      </c>
      <c r="H5">
        <v>15</v>
      </c>
      <c r="I5">
        <f t="shared" si="0"/>
        <v>15</v>
      </c>
      <c r="J5">
        <f t="shared" si="1"/>
        <v>15.75</v>
      </c>
      <c r="K5">
        <f t="shared" si="2"/>
        <v>16.5</v>
      </c>
      <c r="L5">
        <f t="shared" si="3"/>
        <v>17.25</v>
      </c>
    </row>
    <row r="6" spans="1:12">
      <c r="A6">
        <v>5</v>
      </c>
      <c r="B6">
        <v>1</v>
      </c>
      <c r="C6">
        <v>2025</v>
      </c>
      <c r="D6" t="s">
        <v>28</v>
      </c>
      <c r="E6" t="s">
        <v>29</v>
      </c>
      <c r="F6" t="s">
        <v>8</v>
      </c>
      <c r="G6">
        <v>9</v>
      </c>
      <c r="H6">
        <v>15</v>
      </c>
      <c r="I6">
        <f t="shared" si="0"/>
        <v>135</v>
      </c>
      <c r="J6">
        <f t="shared" si="1"/>
        <v>141.75</v>
      </c>
      <c r="K6">
        <f t="shared" si="2"/>
        <v>148.5</v>
      </c>
      <c r="L6">
        <f t="shared" si="3"/>
        <v>155.25</v>
      </c>
    </row>
    <row r="7" spans="1:12">
      <c r="A7">
        <v>6</v>
      </c>
      <c r="B7">
        <v>1</v>
      </c>
      <c r="C7">
        <v>2025</v>
      </c>
      <c r="D7" t="s">
        <v>30</v>
      </c>
      <c r="E7" t="s">
        <v>31</v>
      </c>
      <c r="F7" t="s">
        <v>2</v>
      </c>
      <c r="G7">
        <v>20</v>
      </c>
      <c r="H7">
        <v>55</v>
      </c>
      <c r="I7">
        <f t="shared" si="0"/>
        <v>1100</v>
      </c>
      <c r="J7">
        <f t="shared" si="1"/>
        <v>1155</v>
      </c>
      <c r="K7">
        <f t="shared" si="2"/>
        <v>1210</v>
      </c>
      <c r="L7">
        <f t="shared" si="3"/>
        <v>1265</v>
      </c>
    </row>
    <row r="8" spans="1:12">
      <c r="A8">
        <v>7</v>
      </c>
      <c r="B8">
        <v>1</v>
      </c>
      <c r="C8">
        <v>2025</v>
      </c>
      <c r="D8" t="s">
        <v>24</v>
      </c>
      <c r="E8" t="s">
        <v>32</v>
      </c>
      <c r="F8" t="s">
        <v>3</v>
      </c>
      <c r="G8">
        <v>20</v>
      </c>
      <c r="H8">
        <v>35</v>
      </c>
      <c r="I8">
        <f t="shared" si="0"/>
        <v>700</v>
      </c>
      <c r="J8">
        <f t="shared" si="1"/>
        <v>735</v>
      </c>
      <c r="K8">
        <f t="shared" si="2"/>
        <v>770</v>
      </c>
      <c r="L8">
        <f t="shared" si="3"/>
        <v>805</v>
      </c>
    </row>
    <row r="9" spans="1:12">
      <c r="A9">
        <v>8</v>
      </c>
      <c r="B9">
        <v>1</v>
      </c>
      <c r="C9">
        <v>2025</v>
      </c>
      <c r="D9" t="s">
        <v>33</v>
      </c>
      <c r="E9" t="s">
        <v>25</v>
      </c>
      <c r="F9" t="s">
        <v>9</v>
      </c>
      <c r="G9">
        <v>17</v>
      </c>
      <c r="H9">
        <v>75</v>
      </c>
      <c r="I9">
        <f t="shared" si="0"/>
        <v>1275</v>
      </c>
      <c r="J9">
        <f t="shared" si="1"/>
        <v>1338.75</v>
      </c>
      <c r="K9">
        <f t="shared" si="2"/>
        <v>1402.5</v>
      </c>
      <c r="L9">
        <f t="shared" si="3"/>
        <v>1466.25</v>
      </c>
    </row>
    <row r="10" spans="1:12">
      <c r="A10">
        <v>9</v>
      </c>
      <c r="B10">
        <v>1</v>
      </c>
      <c r="C10">
        <v>2025</v>
      </c>
      <c r="D10" t="s">
        <v>34</v>
      </c>
      <c r="E10" t="s">
        <v>31</v>
      </c>
      <c r="F10" t="s">
        <v>3</v>
      </c>
      <c r="G10">
        <v>17</v>
      </c>
      <c r="H10">
        <v>35</v>
      </c>
      <c r="I10">
        <f t="shared" si="0"/>
        <v>595</v>
      </c>
      <c r="J10">
        <f t="shared" si="1"/>
        <v>624.75</v>
      </c>
      <c r="K10">
        <f t="shared" si="2"/>
        <v>654.5</v>
      </c>
      <c r="L10">
        <f t="shared" si="3"/>
        <v>684.25</v>
      </c>
    </row>
    <row r="11" spans="1:12">
      <c r="A11">
        <v>10</v>
      </c>
      <c r="B11">
        <v>1</v>
      </c>
      <c r="C11">
        <v>2025</v>
      </c>
      <c r="D11" t="s">
        <v>35</v>
      </c>
      <c r="E11" t="s">
        <v>27</v>
      </c>
      <c r="F11" t="s">
        <v>5</v>
      </c>
      <c r="G11">
        <v>7</v>
      </c>
      <c r="H11">
        <v>220</v>
      </c>
      <c r="I11">
        <f t="shared" si="0"/>
        <v>1540</v>
      </c>
      <c r="J11">
        <f t="shared" si="1"/>
        <v>1617</v>
      </c>
      <c r="K11">
        <f t="shared" si="2"/>
        <v>1694</v>
      </c>
      <c r="L11">
        <f t="shared" si="3"/>
        <v>1771</v>
      </c>
    </row>
    <row r="12" spans="1:12">
      <c r="A12">
        <v>11</v>
      </c>
      <c r="B12">
        <v>1</v>
      </c>
      <c r="C12">
        <v>2025</v>
      </c>
      <c r="D12" t="s">
        <v>24</v>
      </c>
      <c r="E12" t="s">
        <v>31</v>
      </c>
      <c r="F12" t="s">
        <v>6</v>
      </c>
      <c r="G12">
        <v>16</v>
      </c>
      <c r="H12">
        <v>500</v>
      </c>
      <c r="I12">
        <f t="shared" si="0"/>
        <v>8000</v>
      </c>
      <c r="J12">
        <f t="shared" si="1"/>
        <v>8400</v>
      </c>
      <c r="K12">
        <f t="shared" si="2"/>
        <v>8800</v>
      </c>
      <c r="L12">
        <f t="shared" si="3"/>
        <v>9200</v>
      </c>
    </row>
    <row r="13" spans="1:12">
      <c r="A13">
        <v>12</v>
      </c>
      <c r="B13">
        <v>1</v>
      </c>
      <c r="C13">
        <v>2025</v>
      </c>
      <c r="D13" t="s">
        <v>36</v>
      </c>
      <c r="E13" t="s">
        <v>27</v>
      </c>
      <c r="F13" t="s">
        <v>8</v>
      </c>
      <c r="G13">
        <v>5</v>
      </c>
      <c r="H13">
        <v>15</v>
      </c>
      <c r="I13">
        <f t="shared" si="0"/>
        <v>75</v>
      </c>
      <c r="J13">
        <f t="shared" si="1"/>
        <v>78.75</v>
      </c>
      <c r="K13">
        <f t="shared" si="2"/>
        <v>82.5</v>
      </c>
      <c r="L13">
        <f t="shared" si="3"/>
        <v>86.25</v>
      </c>
    </row>
    <row r="14" spans="1:12">
      <c r="A14">
        <v>13</v>
      </c>
      <c r="B14">
        <v>1</v>
      </c>
      <c r="C14">
        <v>2025</v>
      </c>
      <c r="D14" t="s">
        <v>33</v>
      </c>
      <c r="E14" t="s">
        <v>37</v>
      </c>
      <c r="F14" t="s">
        <v>5</v>
      </c>
      <c r="G14">
        <v>8</v>
      </c>
      <c r="H14">
        <v>220</v>
      </c>
      <c r="I14">
        <f t="shared" si="0"/>
        <v>1760</v>
      </c>
      <c r="J14">
        <f t="shared" si="1"/>
        <v>1848</v>
      </c>
      <c r="K14">
        <f t="shared" si="2"/>
        <v>1936</v>
      </c>
      <c r="L14">
        <f t="shared" si="3"/>
        <v>2024</v>
      </c>
    </row>
    <row r="15" spans="1:12">
      <c r="A15">
        <v>14</v>
      </c>
      <c r="B15">
        <v>1</v>
      </c>
      <c r="C15">
        <v>2025</v>
      </c>
      <c r="D15" t="s">
        <v>33</v>
      </c>
      <c r="E15" t="s">
        <v>31</v>
      </c>
      <c r="F15" t="s">
        <v>8</v>
      </c>
      <c r="G15">
        <v>1</v>
      </c>
      <c r="H15">
        <v>15</v>
      </c>
      <c r="I15">
        <f t="shared" si="0"/>
        <v>15</v>
      </c>
      <c r="J15">
        <f t="shared" si="1"/>
        <v>15.75</v>
      </c>
      <c r="K15">
        <f t="shared" si="2"/>
        <v>16.5</v>
      </c>
      <c r="L15">
        <f t="shared" si="3"/>
        <v>17.25</v>
      </c>
    </row>
    <row r="16" spans="1:12">
      <c r="A16">
        <v>15</v>
      </c>
      <c r="B16">
        <v>1</v>
      </c>
      <c r="C16">
        <v>2025</v>
      </c>
      <c r="D16" t="s">
        <v>22</v>
      </c>
      <c r="E16" t="s">
        <v>38</v>
      </c>
      <c r="F16" t="s">
        <v>26</v>
      </c>
      <c r="G16">
        <v>15</v>
      </c>
      <c r="H16">
        <v>180</v>
      </c>
      <c r="I16">
        <f t="shared" si="0"/>
        <v>2700</v>
      </c>
      <c r="J16">
        <f t="shared" si="1"/>
        <v>2835</v>
      </c>
      <c r="K16">
        <f t="shared" si="2"/>
        <v>2970</v>
      </c>
      <c r="L16">
        <f t="shared" si="3"/>
        <v>3105</v>
      </c>
    </row>
    <row r="17" spans="1:12">
      <c r="A17">
        <v>16</v>
      </c>
      <c r="B17">
        <v>1</v>
      </c>
      <c r="C17">
        <v>2025</v>
      </c>
      <c r="D17" t="s">
        <v>39</v>
      </c>
      <c r="E17" t="s">
        <v>31</v>
      </c>
      <c r="F17" t="s">
        <v>2</v>
      </c>
      <c r="G17">
        <v>5</v>
      </c>
      <c r="H17">
        <v>55</v>
      </c>
      <c r="I17">
        <f t="shared" si="0"/>
        <v>275</v>
      </c>
      <c r="J17">
        <f t="shared" si="1"/>
        <v>288.75</v>
      </c>
      <c r="K17">
        <f t="shared" si="2"/>
        <v>302.5</v>
      </c>
      <c r="L17">
        <f t="shared" si="3"/>
        <v>316.25</v>
      </c>
    </row>
    <row r="18" spans="1:12">
      <c r="A18">
        <v>17</v>
      </c>
      <c r="B18">
        <v>1</v>
      </c>
      <c r="C18">
        <v>2025</v>
      </c>
      <c r="D18" t="s">
        <v>36</v>
      </c>
      <c r="E18" t="s">
        <v>25</v>
      </c>
      <c r="F18" t="s">
        <v>8</v>
      </c>
      <c r="G18">
        <v>16</v>
      </c>
      <c r="H18">
        <v>15</v>
      </c>
      <c r="I18">
        <f t="shared" si="0"/>
        <v>240</v>
      </c>
      <c r="J18">
        <f t="shared" si="1"/>
        <v>252</v>
      </c>
      <c r="K18">
        <f t="shared" si="2"/>
        <v>264</v>
      </c>
      <c r="L18">
        <f t="shared" si="3"/>
        <v>276</v>
      </c>
    </row>
    <row r="19" spans="1:12">
      <c r="A19">
        <v>18</v>
      </c>
      <c r="B19">
        <v>1</v>
      </c>
      <c r="C19">
        <v>2025</v>
      </c>
      <c r="D19" t="s">
        <v>28</v>
      </c>
      <c r="E19" t="s">
        <v>27</v>
      </c>
      <c r="F19" t="s">
        <v>7</v>
      </c>
      <c r="G19">
        <v>8</v>
      </c>
      <c r="H19">
        <v>320</v>
      </c>
      <c r="I19">
        <f t="shared" si="0"/>
        <v>2560</v>
      </c>
      <c r="J19">
        <f t="shared" si="1"/>
        <v>2688</v>
      </c>
      <c r="K19">
        <f t="shared" si="2"/>
        <v>2816</v>
      </c>
      <c r="L19">
        <f t="shared" si="3"/>
        <v>2944</v>
      </c>
    </row>
    <row r="20" spans="1:12">
      <c r="A20">
        <v>19</v>
      </c>
      <c r="B20">
        <v>1</v>
      </c>
      <c r="C20">
        <v>2025</v>
      </c>
      <c r="D20" t="s">
        <v>33</v>
      </c>
      <c r="E20" t="s">
        <v>32</v>
      </c>
      <c r="F20" t="s">
        <v>2</v>
      </c>
      <c r="G20">
        <v>20</v>
      </c>
      <c r="H20">
        <v>55</v>
      </c>
      <c r="I20">
        <f t="shared" si="0"/>
        <v>1100</v>
      </c>
      <c r="J20">
        <f t="shared" si="1"/>
        <v>1155</v>
      </c>
      <c r="K20">
        <f t="shared" si="2"/>
        <v>1210</v>
      </c>
      <c r="L20">
        <f t="shared" si="3"/>
        <v>1265</v>
      </c>
    </row>
    <row r="21" spans="1:12">
      <c r="A21">
        <v>20</v>
      </c>
      <c r="B21">
        <v>1</v>
      </c>
      <c r="C21">
        <v>2025</v>
      </c>
      <c r="D21" t="s">
        <v>36</v>
      </c>
      <c r="E21" t="s">
        <v>40</v>
      </c>
      <c r="F21" t="s">
        <v>26</v>
      </c>
      <c r="G21">
        <v>9</v>
      </c>
      <c r="H21">
        <v>180</v>
      </c>
      <c r="I21">
        <f t="shared" si="0"/>
        <v>1620</v>
      </c>
      <c r="J21">
        <f t="shared" si="1"/>
        <v>1701</v>
      </c>
      <c r="K21">
        <f t="shared" si="2"/>
        <v>1782</v>
      </c>
      <c r="L21">
        <f t="shared" si="3"/>
        <v>1863</v>
      </c>
    </row>
    <row r="22" spans="1:12">
      <c r="A22">
        <v>21</v>
      </c>
      <c r="B22">
        <v>2</v>
      </c>
      <c r="C22">
        <v>2025</v>
      </c>
      <c r="D22" t="s">
        <v>34</v>
      </c>
      <c r="E22" t="s">
        <v>38</v>
      </c>
      <c r="F22" t="s">
        <v>9</v>
      </c>
      <c r="G22">
        <v>7</v>
      </c>
      <c r="H22">
        <v>75</v>
      </c>
      <c r="I22">
        <f t="shared" si="0"/>
        <v>525</v>
      </c>
      <c r="J22">
        <f t="shared" si="1"/>
        <v>551.25</v>
      </c>
      <c r="K22">
        <f t="shared" si="2"/>
        <v>577.5</v>
      </c>
      <c r="L22">
        <f t="shared" si="3"/>
        <v>603.75</v>
      </c>
    </row>
    <row r="23" spans="1:12">
      <c r="A23">
        <v>22</v>
      </c>
      <c r="B23">
        <v>2</v>
      </c>
      <c r="C23">
        <v>2025</v>
      </c>
      <c r="D23" t="s">
        <v>34</v>
      </c>
      <c r="E23" t="s">
        <v>27</v>
      </c>
      <c r="F23" t="s">
        <v>6</v>
      </c>
      <c r="G23">
        <v>19</v>
      </c>
      <c r="H23">
        <v>500</v>
      </c>
      <c r="I23">
        <f t="shared" si="0"/>
        <v>9500</v>
      </c>
      <c r="J23">
        <f t="shared" si="1"/>
        <v>9975</v>
      </c>
      <c r="K23">
        <f t="shared" si="2"/>
        <v>10450</v>
      </c>
      <c r="L23">
        <f t="shared" si="3"/>
        <v>10925</v>
      </c>
    </row>
    <row r="24" spans="1:12">
      <c r="A24">
        <v>23</v>
      </c>
      <c r="B24">
        <v>2</v>
      </c>
      <c r="C24">
        <v>2025</v>
      </c>
      <c r="D24" t="s">
        <v>39</v>
      </c>
      <c r="E24" t="s">
        <v>25</v>
      </c>
      <c r="F24" t="s">
        <v>41</v>
      </c>
      <c r="G24">
        <v>12</v>
      </c>
      <c r="H24">
        <v>20</v>
      </c>
      <c r="I24">
        <f t="shared" si="0"/>
        <v>240</v>
      </c>
      <c r="J24">
        <f t="shared" si="1"/>
        <v>252</v>
      </c>
      <c r="K24">
        <f t="shared" si="2"/>
        <v>264</v>
      </c>
      <c r="L24">
        <f t="shared" si="3"/>
        <v>276</v>
      </c>
    </row>
    <row r="25" spans="1:12">
      <c r="A25">
        <v>24</v>
      </c>
      <c r="B25">
        <v>2</v>
      </c>
      <c r="C25">
        <v>2025</v>
      </c>
      <c r="D25" t="s">
        <v>22</v>
      </c>
      <c r="E25" t="s">
        <v>31</v>
      </c>
      <c r="F25" t="s">
        <v>9</v>
      </c>
      <c r="G25">
        <v>1</v>
      </c>
      <c r="H25">
        <v>75</v>
      </c>
      <c r="I25">
        <f t="shared" si="0"/>
        <v>75</v>
      </c>
      <c r="J25">
        <f t="shared" si="1"/>
        <v>78.75</v>
      </c>
      <c r="K25">
        <f t="shared" si="2"/>
        <v>82.5</v>
      </c>
      <c r="L25">
        <f t="shared" si="3"/>
        <v>86.25</v>
      </c>
    </row>
    <row r="26" spans="1:12">
      <c r="A26">
        <v>25</v>
      </c>
      <c r="B26">
        <v>2</v>
      </c>
      <c r="C26">
        <v>2025</v>
      </c>
      <c r="D26" t="s">
        <v>33</v>
      </c>
      <c r="E26" t="s">
        <v>27</v>
      </c>
      <c r="F26" t="s">
        <v>3</v>
      </c>
      <c r="G26">
        <v>12</v>
      </c>
      <c r="H26">
        <v>35</v>
      </c>
      <c r="I26">
        <f t="shared" si="0"/>
        <v>420</v>
      </c>
      <c r="J26">
        <f t="shared" si="1"/>
        <v>441</v>
      </c>
      <c r="K26">
        <f t="shared" si="2"/>
        <v>462</v>
      </c>
      <c r="L26">
        <f t="shared" si="3"/>
        <v>483</v>
      </c>
    </row>
    <row r="27" spans="1:12">
      <c r="A27">
        <v>26</v>
      </c>
      <c r="B27">
        <v>2</v>
      </c>
      <c r="C27">
        <v>2025</v>
      </c>
      <c r="D27" t="s">
        <v>42</v>
      </c>
      <c r="E27" t="s">
        <v>31</v>
      </c>
      <c r="F27" t="s">
        <v>3</v>
      </c>
      <c r="G27">
        <v>20</v>
      </c>
      <c r="H27">
        <v>35</v>
      </c>
      <c r="I27">
        <f t="shared" si="0"/>
        <v>700</v>
      </c>
      <c r="J27">
        <f t="shared" si="1"/>
        <v>735</v>
      </c>
      <c r="K27">
        <f t="shared" si="2"/>
        <v>770</v>
      </c>
      <c r="L27">
        <f t="shared" si="3"/>
        <v>805</v>
      </c>
    </row>
    <row r="28" spans="1:12">
      <c r="A28">
        <v>27</v>
      </c>
      <c r="B28">
        <v>2</v>
      </c>
      <c r="C28">
        <v>2025</v>
      </c>
      <c r="D28" t="s">
        <v>39</v>
      </c>
      <c r="E28" t="s">
        <v>23</v>
      </c>
      <c r="F28" t="s">
        <v>6</v>
      </c>
      <c r="G28">
        <v>17</v>
      </c>
      <c r="H28">
        <v>500</v>
      </c>
      <c r="I28">
        <f t="shared" si="0"/>
        <v>8500</v>
      </c>
      <c r="J28">
        <f t="shared" si="1"/>
        <v>8925</v>
      </c>
      <c r="K28">
        <f t="shared" si="2"/>
        <v>9350</v>
      </c>
      <c r="L28">
        <f t="shared" si="3"/>
        <v>9775</v>
      </c>
    </row>
    <row r="29" spans="1:12">
      <c r="A29">
        <v>28</v>
      </c>
      <c r="B29">
        <v>2</v>
      </c>
      <c r="C29">
        <v>2025</v>
      </c>
      <c r="D29" t="s">
        <v>22</v>
      </c>
      <c r="E29" t="s">
        <v>37</v>
      </c>
      <c r="F29" t="s">
        <v>9</v>
      </c>
      <c r="G29">
        <v>15</v>
      </c>
      <c r="H29">
        <v>75</v>
      </c>
      <c r="I29">
        <f t="shared" si="0"/>
        <v>1125</v>
      </c>
      <c r="J29">
        <f t="shared" si="1"/>
        <v>1181.25</v>
      </c>
      <c r="K29">
        <f t="shared" si="2"/>
        <v>1237.5</v>
      </c>
      <c r="L29">
        <f t="shared" si="3"/>
        <v>1293.75</v>
      </c>
    </row>
    <row r="30" spans="1:12">
      <c r="A30">
        <v>29</v>
      </c>
      <c r="B30">
        <v>2</v>
      </c>
      <c r="C30">
        <v>2025</v>
      </c>
      <c r="D30" t="s">
        <v>33</v>
      </c>
      <c r="E30" t="s">
        <v>31</v>
      </c>
      <c r="F30" t="s">
        <v>9</v>
      </c>
      <c r="G30">
        <v>13</v>
      </c>
      <c r="H30">
        <v>75</v>
      </c>
      <c r="I30">
        <f t="shared" si="0"/>
        <v>975</v>
      </c>
      <c r="J30">
        <f t="shared" si="1"/>
        <v>1023.75</v>
      </c>
      <c r="K30">
        <f t="shared" si="2"/>
        <v>1072.5</v>
      </c>
      <c r="L30">
        <f t="shared" si="3"/>
        <v>1121.25</v>
      </c>
    </row>
    <row r="31" spans="1:12">
      <c r="A31">
        <v>30</v>
      </c>
      <c r="B31">
        <v>2</v>
      </c>
      <c r="C31">
        <v>2025</v>
      </c>
      <c r="D31" t="s">
        <v>42</v>
      </c>
      <c r="E31" t="s">
        <v>38</v>
      </c>
      <c r="F31" t="s">
        <v>3</v>
      </c>
      <c r="G31">
        <v>14</v>
      </c>
      <c r="H31">
        <v>35</v>
      </c>
      <c r="I31">
        <f t="shared" si="0"/>
        <v>490</v>
      </c>
      <c r="J31">
        <f t="shared" si="1"/>
        <v>514.5</v>
      </c>
      <c r="K31">
        <f t="shared" si="2"/>
        <v>539</v>
      </c>
      <c r="L31">
        <f t="shared" si="3"/>
        <v>563.5</v>
      </c>
    </row>
    <row r="32" spans="1:12">
      <c r="A32">
        <v>31</v>
      </c>
      <c r="B32">
        <v>2</v>
      </c>
      <c r="C32">
        <v>2025</v>
      </c>
      <c r="D32" t="s">
        <v>39</v>
      </c>
      <c r="E32" t="s">
        <v>25</v>
      </c>
      <c r="F32" t="s">
        <v>6</v>
      </c>
      <c r="G32">
        <v>16</v>
      </c>
      <c r="H32">
        <v>500</v>
      </c>
      <c r="I32">
        <f t="shared" si="0"/>
        <v>8000</v>
      </c>
      <c r="J32">
        <f t="shared" si="1"/>
        <v>8400</v>
      </c>
      <c r="K32">
        <f t="shared" si="2"/>
        <v>8800</v>
      </c>
      <c r="L32">
        <f t="shared" si="3"/>
        <v>9200</v>
      </c>
    </row>
    <row r="33" spans="1:12">
      <c r="A33">
        <v>32</v>
      </c>
      <c r="B33">
        <v>2</v>
      </c>
      <c r="C33">
        <v>2025</v>
      </c>
      <c r="D33" t="s">
        <v>36</v>
      </c>
      <c r="E33" t="s">
        <v>43</v>
      </c>
      <c r="F33" t="s">
        <v>9</v>
      </c>
      <c r="G33">
        <v>1</v>
      </c>
      <c r="H33">
        <v>75</v>
      </c>
      <c r="I33">
        <f t="shared" si="0"/>
        <v>75</v>
      </c>
      <c r="J33">
        <f t="shared" si="1"/>
        <v>78.75</v>
      </c>
      <c r="K33">
        <f t="shared" si="2"/>
        <v>82.5</v>
      </c>
      <c r="L33">
        <f t="shared" si="3"/>
        <v>86.25</v>
      </c>
    </row>
    <row r="34" spans="1:12">
      <c r="A34">
        <v>33</v>
      </c>
      <c r="B34">
        <v>2</v>
      </c>
      <c r="C34">
        <v>2025</v>
      </c>
      <c r="D34" t="s">
        <v>28</v>
      </c>
      <c r="E34" t="s">
        <v>29</v>
      </c>
      <c r="F34" t="s">
        <v>4</v>
      </c>
      <c r="G34">
        <v>19</v>
      </c>
      <c r="H34">
        <v>850</v>
      </c>
      <c r="I34">
        <f t="shared" si="0"/>
        <v>16150</v>
      </c>
      <c r="J34">
        <f t="shared" si="1"/>
        <v>16957.5</v>
      </c>
      <c r="K34">
        <f t="shared" si="2"/>
        <v>17765</v>
      </c>
      <c r="L34">
        <f t="shared" si="3"/>
        <v>18572.5</v>
      </c>
    </row>
    <row r="35" spans="1:12">
      <c r="A35">
        <v>34</v>
      </c>
      <c r="B35">
        <v>2</v>
      </c>
      <c r="C35">
        <v>2025</v>
      </c>
      <c r="D35" t="s">
        <v>33</v>
      </c>
      <c r="E35" t="s">
        <v>23</v>
      </c>
      <c r="F35" t="s">
        <v>8</v>
      </c>
      <c r="G35">
        <v>18</v>
      </c>
      <c r="H35">
        <v>15</v>
      </c>
      <c r="I35">
        <f t="shared" ref="I35:I66" si="4">G35*H35</f>
        <v>270</v>
      </c>
      <c r="J35">
        <f t="shared" ref="J35:J66" si="5">I35*1.05</f>
        <v>283.5</v>
      </c>
      <c r="K35">
        <f t="shared" ref="K35:K66" si="6">I35*1.1</f>
        <v>297</v>
      </c>
      <c r="L35">
        <f t="shared" ref="L35:L66" si="7">I35*1.15</f>
        <v>310.5</v>
      </c>
    </row>
    <row r="36" spans="1:12">
      <c r="A36">
        <v>35</v>
      </c>
      <c r="B36">
        <v>2</v>
      </c>
      <c r="C36">
        <v>2025</v>
      </c>
      <c r="D36" t="s">
        <v>42</v>
      </c>
      <c r="E36" t="s">
        <v>38</v>
      </c>
      <c r="F36" t="s">
        <v>3</v>
      </c>
      <c r="G36">
        <v>17</v>
      </c>
      <c r="H36">
        <v>35</v>
      </c>
      <c r="I36">
        <f t="shared" si="4"/>
        <v>595</v>
      </c>
      <c r="J36">
        <f t="shared" si="5"/>
        <v>624.75</v>
      </c>
      <c r="K36">
        <f t="shared" si="6"/>
        <v>654.5</v>
      </c>
      <c r="L36">
        <f t="shared" si="7"/>
        <v>684.25</v>
      </c>
    </row>
    <row r="37" spans="1:12">
      <c r="A37">
        <v>36</v>
      </c>
      <c r="B37">
        <v>2</v>
      </c>
      <c r="C37">
        <v>2025</v>
      </c>
      <c r="D37" t="s">
        <v>30</v>
      </c>
      <c r="E37" t="s">
        <v>31</v>
      </c>
      <c r="F37" t="s">
        <v>26</v>
      </c>
      <c r="G37">
        <v>13</v>
      </c>
      <c r="H37">
        <v>180</v>
      </c>
      <c r="I37">
        <f t="shared" si="4"/>
        <v>2340</v>
      </c>
      <c r="J37">
        <f t="shared" si="5"/>
        <v>2457</v>
      </c>
      <c r="K37">
        <f t="shared" si="6"/>
        <v>2574</v>
      </c>
      <c r="L37">
        <f t="shared" si="7"/>
        <v>2691</v>
      </c>
    </row>
    <row r="38" spans="1:12">
      <c r="A38">
        <v>37</v>
      </c>
      <c r="B38">
        <v>2</v>
      </c>
      <c r="C38">
        <v>2025</v>
      </c>
      <c r="D38" t="s">
        <v>42</v>
      </c>
      <c r="E38" t="s">
        <v>38</v>
      </c>
      <c r="F38" t="s">
        <v>9</v>
      </c>
      <c r="G38">
        <v>12</v>
      </c>
      <c r="H38">
        <v>75</v>
      </c>
      <c r="I38">
        <f t="shared" si="4"/>
        <v>900</v>
      </c>
      <c r="J38">
        <f t="shared" si="5"/>
        <v>945</v>
      </c>
      <c r="K38">
        <f t="shared" si="6"/>
        <v>990</v>
      </c>
      <c r="L38">
        <f t="shared" si="7"/>
        <v>1035</v>
      </c>
    </row>
    <row r="39" spans="1:12">
      <c r="A39">
        <v>38</v>
      </c>
      <c r="B39">
        <v>3</v>
      </c>
      <c r="C39">
        <v>2025</v>
      </c>
      <c r="D39" t="s">
        <v>33</v>
      </c>
      <c r="E39" t="s">
        <v>38</v>
      </c>
      <c r="F39" t="s">
        <v>8</v>
      </c>
      <c r="G39">
        <v>6</v>
      </c>
      <c r="H39">
        <v>15</v>
      </c>
      <c r="I39">
        <f t="shared" si="4"/>
        <v>90</v>
      </c>
      <c r="J39">
        <f t="shared" si="5"/>
        <v>94.5</v>
      </c>
      <c r="K39">
        <f t="shared" si="6"/>
        <v>99</v>
      </c>
      <c r="L39">
        <f t="shared" si="7"/>
        <v>103.5</v>
      </c>
    </row>
    <row r="40" spans="1:12">
      <c r="A40">
        <v>39</v>
      </c>
      <c r="B40">
        <v>3</v>
      </c>
      <c r="C40">
        <v>2025</v>
      </c>
      <c r="D40" t="s">
        <v>42</v>
      </c>
      <c r="E40" t="s">
        <v>38</v>
      </c>
      <c r="F40" t="s">
        <v>41</v>
      </c>
      <c r="G40">
        <v>17</v>
      </c>
      <c r="H40">
        <v>20</v>
      </c>
      <c r="I40">
        <f t="shared" si="4"/>
        <v>340</v>
      </c>
      <c r="J40">
        <f t="shared" si="5"/>
        <v>357</v>
      </c>
      <c r="K40">
        <f t="shared" si="6"/>
        <v>374</v>
      </c>
      <c r="L40">
        <f t="shared" si="7"/>
        <v>391</v>
      </c>
    </row>
    <row r="41" spans="1:12">
      <c r="A41">
        <v>40</v>
      </c>
      <c r="B41">
        <v>3</v>
      </c>
      <c r="C41">
        <v>2025</v>
      </c>
      <c r="D41" t="s">
        <v>30</v>
      </c>
      <c r="E41" t="s">
        <v>27</v>
      </c>
      <c r="F41" t="s">
        <v>41</v>
      </c>
      <c r="G41">
        <v>11</v>
      </c>
      <c r="H41">
        <v>20</v>
      </c>
      <c r="I41">
        <f t="shared" si="4"/>
        <v>220</v>
      </c>
      <c r="J41">
        <f t="shared" si="5"/>
        <v>231</v>
      </c>
      <c r="K41">
        <f t="shared" si="6"/>
        <v>242</v>
      </c>
      <c r="L41">
        <f t="shared" si="7"/>
        <v>253</v>
      </c>
    </row>
    <row r="42" spans="1:12">
      <c r="A42">
        <v>41</v>
      </c>
      <c r="B42">
        <v>3</v>
      </c>
      <c r="C42">
        <v>2025</v>
      </c>
      <c r="D42" t="s">
        <v>33</v>
      </c>
      <c r="E42" t="s">
        <v>25</v>
      </c>
      <c r="F42" t="s">
        <v>2</v>
      </c>
      <c r="G42">
        <v>2</v>
      </c>
      <c r="H42">
        <v>55</v>
      </c>
      <c r="I42">
        <f t="shared" si="4"/>
        <v>110</v>
      </c>
      <c r="J42">
        <f t="shared" si="5"/>
        <v>115.5</v>
      </c>
      <c r="K42">
        <f t="shared" si="6"/>
        <v>121</v>
      </c>
      <c r="L42">
        <f t="shared" si="7"/>
        <v>126.5</v>
      </c>
    </row>
    <row r="43" spans="1:12">
      <c r="A43">
        <v>42</v>
      </c>
      <c r="B43">
        <v>3</v>
      </c>
      <c r="C43">
        <v>2025</v>
      </c>
      <c r="D43" t="s">
        <v>35</v>
      </c>
      <c r="E43" t="s">
        <v>29</v>
      </c>
      <c r="F43" t="s">
        <v>6</v>
      </c>
      <c r="G43">
        <v>16</v>
      </c>
      <c r="H43">
        <v>500</v>
      </c>
      <c r="I43">
        <f t="shared" si="4"/>
        <v>8000</v>
      </c>
      <c r="J43">
        <f t="shared" si="5"/>
        <v>8400</v>
      </c>
      <c r="K43">
        <f t="shared" si="6"/>
        <v>8800</v>
      </c>
      <c r="L43">
        <f t="shared" si="7"/>
        <v>9200</v>
      </c>
    </row>
    <row r="44" spans="1:12">
      <c r="A44">
        <v>43</v>
      </c>
      <c r="B44">
        <v>3</v>
      </c>
      <c r="C44">
        <v>2025</v>
      </c>
      <c r="D44" t="s">
        <v>35</v>
      </c>
      <c r="E44" t="s">
        <v>25</v>
      </c>
      <c r="F44" t="s">
        <v>4</v>
      </c>
      <c r="G44">
        <v>2</v>
      </c>
      <c r="H44">
        <v>850</v>
      </c>
      <c r="I44">
        <f t="shared" si="4"/>
        <v>1700</v>
      </c>
      <c r="J44">
        <f t="shared" si="5"/>
        <v>1785</v>
      </c>
      <c r="K44">
        <f t="shared" si="6"/>
        <v>1870</v>
      </c>
      <c r="L44">
        <f t="shared" si="7"/>
        <v>1955</v>
      </c>
    </row>
    <row r="45" spans="1:12">
      <c r="A45">
        <v>44</v>
      </c>
      <c r="B45">
        <v>3</v>
      </c>
      <c r="C45">
        <v>2025</v>
      </c>
      <c r="D45" t="s">
        <v>24</v>
      </c>
      <c r="E45" t="s">
        <v>32</v>
      </c>
      <c r="F45" t="s">
        <v>26</v>
      </c>
      <c r="G45">
        <v>12</v>
      </c>
      <c r="H45">
        <v>180</v>
      </c>
      <c r="I45">
        <f t="shared" si="4"/>
        <v>2160</v>
      </c>
      <c r="J45">
        <f t="shared" si="5"/>
        <v>2268</v>
      </c>
      <c r="K45">
        <f t="shared" si="6"/>
        <v>2376</v>
      </c>
      <c r="L45">
        <f t="shared" si="7"/>
        <v>2484</v>
      </c>
    </row>
    <row r="46" spans="1:12">
      <c r="A46">
        <v>45</v>
      </c>
      <c r="B46">
        <v>3</v>
      </c>
      <c r="C46">
        <v>2025</v>
      </c>
      <c r="D46" t="s">
        <v>22</v>
      </c>
      <c r="E46" t="s">
        <v>25</v>
      </c>
      <c r="F46" t="s">
        <v>6</v>
      </c>
      <c r="G46">
        <v>19</v>
      </c>
      <c r="H46">
        <v>500</v>
      </c>
      <c r="I46">
        <f t="shared" si="4"/>
        <v>9500</v>
      </c>
      <c r="J46">
        <f t="shared" si="5"/>
        <v>9975</v>
      </c>
      <c r="K46">
        <f t="shared" si="6"/>
        <v>10450</v>
      </c>
      <c r="L46">
        <f t="shared" si="7"/>
        <v>10925</v>
      </c>
    </row>
    <row r="47" spans="1:12">
      <c r="A47">
        <v>46</v>
      </c>
      <c r="B47">
        <v>3</v>
      </c>
      <c r="C47">
        <v>2025</v>
      </c>
      <c r="D47" t="s">
        <v>24</v>
      </c>
      <c r="E47" t="s">
        <v>23</v>
      </c>
      <c r="F47" t="s">
        <v>3</v>
      </c>
      <c r="G47">
        <v>10</v>
      </c>
      <c r="H47">
        <v>35</v>
      </c>
      <c r="I47">
        <f t="shared" si="4"/>
        <v>350</v>
      </c>
      <c r="J47">
        <f t="shared" si="5"/>
        <v>367.5</v>
      </c>
      <c r="K47">
        <f t="shared" si="6"/>
        <v>385</v>
      </c>
      <c r="L47">
        <f t="shared" si="7"/>
        <v>402.5</v>
      </c>
    </row>
    <row r="48" spans="1:12">
      <c r="A48">
        <v>47</v>
      </c>
      <c r="B48">
        <v>3</v>
      </c>
      <c r="C48">
        <v>2025</v>
      </c>
      <c r="D48" t="s">
        <v>24</v>
      </c>
      <c r="E48" t="s">
        <v>38</v>
      </c>
      <c r="F48" t="s">
        <v>3</v>
      </c>
      <c r="G48">
        <v>6</v>
      </c>
      <c r="H48">
        <v>35</v>
      </c>
      <c r="I48">
        <f t="shared" si="4"/>
        <v>210</v>
      </c>
      <c r="J48">
        <f t="shared" si="5"/>
        <v>220.5</v>
      </c>
      <c r="K48">
        <f t="shared" si="6"/>
        <v>231</v>
      </c>
      <c r="L48">
        <f t="shared" si="7"/>
        <v>241.5</v>
      </c>
    </row>
    <row r="49" spans="1:12">
      <c r="A49">
        <v>48</v>
      </c>
      <c r="B49">
        <v>3</v>
      </c>
      <c r="C49">
        <v>2025</v>
      </c>
      <c r="D49" t="s">
        <v>28</v>
      </c>
      <c r="E49" t="s">
        <v>43</v>
      </c>
      <c r="F49" t="s">
        <v>3</v>
      </c>
      <c r="G49">
        <v>13</v>
      </c>
      <c r="H49">
        <v>35</v>
      </c>
      <c r="I49">
        <f t="shared" si="4"/>
        <v>455</v>
      </c>
      <c r="J49">
        <f t="shared" si="5"/>
        <v>477.75</v>
      </c>
      <c r="K49">
        <f t="shared" si="6"/>
        <v>500.5</v>
      </c>
      <c r="L49">
        <f t="shared" si="7"/>
        <v>523.25</v>
      </c>
    </row>
    <row r="50" spans="1:12">
      <c r="A50">
        <v>49</v>
      </c>
      <c r="B50">
        <v>3</v>
      </c>
      <c r="C50">
        <v>2025</v>
      </c>
      <c r="D50" t="s">
        <v>30</v>
      </c>
      <c r="E50" t="s">
        <v>32</v>
      </c>
      <c r="F50" t="s">
        <v>6</v>
      </c>
      <c r="G50">
        <v>7</v>
      </c>
      <c r="H50">
        <v>500</v>
      </c>
      <c r="I50">
        <f t="shared" si="4"/>
        <v>3500</v>
      </c>
      <c r="J50">
        <f t="shared" si="5"/>
        <v>3675</v>
      </c>
      <c r="K50">
        <f t="shared" si="6"/>
        <v>3850</v>
      </c>
      <c r="L50">
        <f t="shared" si="7"/>
        <v>4025</v>
      </c>
    </row>
    <row r="51" spans="1:12">
      <c r="A51">
        <v>50</v>
      </c>
      <c r="B51">
        <v>3</v>
      </c>
      <c r="C51">
        <v>2025</v>
      </c>
      <c r="D51" t="s">
        <v>35</v>
      </c>
      <c r="E51" t="s">
        <v>38</v>
      </c>
      <c r="F51" t="s">
        <v>3</v>
      </c>
      <c r="G51">
        <v>17</v>
      </c>
      <c r="H51">
        <v>35</v>
      </c>
      <c r="I51">
        <f t="shared" si="4"/>
        <v>595</v>
      </c>
      <c r="J51">
        <f t="shared" si="5"/>
        <v>624.75</v>
      </c>
      <c r="K51">
        <f t="shared" si="6"/>
        <v>654.5</v>
      </c>
      <c r="L51">
        <f t="shared" si="7"/>
        <v>684.25</v>
      </c>
    </row>
    <row r="52" spans="1:12">
      <c r="A52">
        <v>51</v>
      </c>
      <c r="B52">
        <v>3</v>
      </c>
      <c r="C52">
        <v>2025</v>
      </c>
      <c r="D52" t="s">
        <v>36</v>
      </c>
      <c r="E52" t="s">
        <v>29</v>
      </c>
      <c r="F52" t="s">
        <v>3</v>
      </c>
      <c r="G52">
        <v>3</v>
      </c>
      <c r="H52">
        <v>35</v>
      </c>
      <c r="I52">
        <f t="shared" si="4"/>
        <v>105</v>
      </c>
      <c r="J52">
        <f t="shared" si="5"/>
        <v>110.25</v>
      </c>
      <c r="K52">
        <f t="shared" si="6"/>
        <v>115.5</v>
      </c>
      <c r="L52">
        <f t="shared" si="7"/>
        <v>120.75</v>
      </c>
    </row>
    <row r="53" spans="1:12">
      <c r="A53">
        <v>52</v>
      </c>
      <c r="B53">
        <v>3</v>
      </c>
      <c r="C53">
        <v>2025</v>
      </c>
      <c r="D53" t="s">
        <v>36</v>
      </c>
      <c r="E53" t="s">
        <v>37</v>
      </c>
      <c r="F53" t="s">
        <v>9</v>
      </c>
      <c r="G53">
        <v>14</v>
      </c>
      <c r="H53">
        <v>75</v>
      </c>
      <c r="I53">
        <f t="shared" si="4"/>
        <v>1050</v>
      </c>
      <c r="J53">
        <f t="shared" si="5"/>
        <v>1102.5</v>
      </c>
      <c r="K53">
        <f t="shared" si="6"/>
        <v>1155</v>
      </c>
      <c r="L53">
        <f t="shared" si="7"/>
        <v>1207.5</v>
      </c>
    </row>
    <row r="54" spans="1:12">
      <c r="A54">
        <v>53</v>
      </c>
      <c r="B54">
        <v>3</v>
      </c>
      <c r="C54">
        <v>2025</v>
      </c>
      <c r="D54" t="s">
        <v>35</v>
      </c>
      <c r="E54" t="s">
        <v>38</v>
      </c>
      <c r="F54" t="s">
        <v>3</v>
      </c>
      <c r="G54">
        <v>16</v>
      </c>
      <c r="H54">
        <v>35</v>
      </c>
      <c r="I54">
        <f t="shared" si="4"/>
        <v>560</v>
      </c>
      <c r="J54">
        <f t="shared" si="5"/>
        <v>588</v>
      </c>
      <c r="K54">
        <f t="shared" si="6"/>
        <v>616</v>
      </c>
      <c r="L54">
        <f t="shared" si="7"/>
        <v>644</v>
      </c>
    </row>
    <row r="55" spans="1:12">
      <c r="A55">
        <v>54</v>
      </c>
      <c r="B55">
        <v>3</v>
      </c>
      <c r="C55">
        <v>2025</v>
      </c>
      <c r="D55" t="s">
        <v>34</v>
      </c>
      <c r="E55" t="s">
        <v>32</v>
      </c>
      <c r="F55" t="s">
        <v>2</v>
      </c>
      <c r="G55">
        <v>15</v>
      </c>
      <c r="H55">
        <v>55</v>
      </c>
      <c r="I55">
        <f t="shared" si="4"/>
        <v>825</v>
      </c>
      <c r="J55">
        <f t="shared" si="5"/>
        <v>866.25</v>
      </c>
      <c r="K55">
        <f t="shared" si="6"/>
        <v>907.5</v>
      </c>
      <c r="L55">
        <f t="shared" si="7"/>
        <v>948.75</v>
      </c>
    </row>
    <row r="56" spans="1:12">
      <c r="A56">
        <v>55</v>
      </c>
      <c r="B56">
        <v>4</v>
      </c>
      <c r="C56">
        <v>2025</v>
      </c>
      <c r="D56" t="s">
        <v>28</v>
      </c>
      <c r="E56" t="s">
        <v>29</v>
      </c>
      <c r="F56" t="s">
        <v>41</v>
      </c>
      <c r="G56">
        <v>7</v>
      </c>
      <c r="H56">
        <v>20</v>
      </c>
      <c r="I56">
        <f t="shared" si="4"/>
        <v>140</v>
      </c>
      <c r="J56">
        <f t="shared" si="5"/>
        <v>147</v>
      </c>
      <c r="K56">
        <f t="shared" si="6"/>
        <v>154</v>
      </c>
      <c r="L56">
        <f t="shared" si="7"/>
        <v>161</v>
      </c>
    </row>
    <row r="57" spans="1:12">
      <c r="A57">
        <v>56</v>
      </c>
      <c r="B57">
        <v>4</v>
      </c>
      <c r="C57">
        <v>2025</v>
      </c>
      <c r="D57" t="s">
        <v>34</v>
      </c>
      <c r="E57" t="s">
        <v>43</v>
      </c>
      <c r="F57" t="s">
        <v>6</v>
      </c>
      <c r="G57">
        <v>11</v>
      </c>
      <c r="H57">
        <v>500</v>
      </c>
      <c r="I57">
        <f t="shared" si="4"/>
        <v>5500</v>
      </c>
      <c r="J57">
        <f t="shared" si="5"/>
        <v>5775</v>
      </c>
      <c r="K57">
        <f t="shared" si="6"/>
        <v>6050</v>
      </c>
      <c r="L57">
        <f t="shared" si="7"/>
        <v>6325</v>
      </c>
    </row>
    <row r="58" spans="1:12">
      <c r="A58">
        <v>57</v>
      </c>
      <c r="B58">
        <v>4</v>
      </c>
      <c r="C58">
        <v>2025</v>
      </c>
      <c r="D58" t="s">
        <v>24</v>
      </c>
      <c r="E58" t="s">
        <v>25</v>
      </c>
      <c r="F58" t="s">
        <v>8</v>
      </c>
      <c r="G58">
        <v>16</v>
      </c>
      <c r="H58">
        <v>15</v>
      </c>
      <c r="I58">
        <f t="shared" si="4"/>
        <v>240</v>
      </c>
      <c r="J58">
        <f t="shared" si="5"/>
        <v>252</v>
      </c>
      <c r="K58">
        <f t="shared" si="6"/>
        <v>264</v>
      </c>
      <c r="L58">
        <f t="shared" si="7"/>
        <v>276</v>
      </c>
    </row>
    <row r="59" spans="1:12">
      <c r="A59">
        <v>58</v>
      </c>
      <c r="B59">
        <v>4</v>
      </c>
      <c r="C59">
        <v>2025</v>
      </c>
      <c r="D59" t="s">
        <v>34</v>
      </c>
      <c r="E59" t="s">
        <v>32</v>
      </c>
      <c r="F59" t="s">
        <v>7</v>
      </c>
      <c r="G59">
        <v>13</v>
      </c>
      <c r="H59">
        <v>320</v>
      </c>
      <c r="I59">
        <f t="shared" si="4"/>
        <v>4160</v>
      </c>
      <c r="J59">
        <f t="shared" si="5"/>
        <v>4368</v>
      </c>
      <c r="K59">
        <f t="shared" si="6"/>
        <v>4576</v>
      </c>
      <c r="L59">
        <f t="shared" si="7"/>
        <v>4784</v>
      </c>
    </row>
    <row r="60" spans="1:12">
      <c r="A60">
        <v>59</v>
      </c>
      <c r="B60">
        <v>4</v>
      </c>
      <c r="C60">
        <v>2025</v>
      </c>
      <c r="D60" t="s">
        <v>34</v>
      </c>
      <c r="E60" t="s">
        <v>32</v>
      </c>
      <c r="F60" t="s">
        <v>4</v>
      </c>
      <c r="G60">
        <v>18</v>
      </c>
      <c r="H60">
        <v>850</v>
      </c>
      <c r="I60">
        <f t="shared" si="4"/>
        <v>15300</v>
      </c>
      <c r="J60">
        <f t="shared" si="5"/>
        <v>16065</v>
      </c>
      <c r="K60">
        <f t="shared" si="6"/>
        <v>16830</v>
      </c>
      <c r="L60">
        <f t="shared" si="7"/>
        <v>17595</v>
      </c>
    </row>
    <row r="61" spans="1:12">
      <c r="A61">
        <v>60</v>
      </c>
      <c r="B61">
        <v>4</v>
      </c>
      <c r="C61">
        <v>2025</v>
      </c>
      <c r="D61" t="s">
        <v>33</v>
      </c>
      <c r="E61" t="s">
        <v>37</v>
      </c>
      <c r="F61" t="s">
        <v>3</v>
      </c>
      <c r="G61">
        <v>9</v>
      </c>
      <c r="H61">
        <v>35</v>
      </c>
      <c r="I61">
        <f t="shared" si="4"/>
        <v>315</v>
      </c>
      <c r="J61">
        <f t="shared" si="5"/>
        <v>330.75</v>
      </c>
      <c r="K61">
        <f t="shared" si="6"/>
        <v>346.5</v>
      </c>
      <c r="L61">
        <f t="shared" si="7"/>
        <v>362.25</v>
      </c>
    </row>
    <row r="62" spans="1:12">
      <c r="A62">
        <v>61</v>
      </c>
      <c r="B62">
        <v>4</v>
      </c>
      <c r="C62">
        <v>2025</v>
      </c>
      <c r="D62" t="s">
        <v>24</v>
      </c>
      <c r="E62" t="s">
        <v>37</v>
      </c>
      <c r="F62" t="s">
        <v>5</v>
      </c>
      <c r="G62">
        <v>19</v>
      </c>
      <c r="H62">
        <v>220</v>
      </c>
      <c r="I62">
        <f t="shared" si="4"/>
        <v>4180</v>
      </c>
      <c r="J62">
        <f t="shared" si="5"/>
        <v>4389</v>
      </c>
      <c r="K62">
        <f t="shared" si="6"/>
        <v>4598</v>
      </c>
      <c r="L62">
        <f t="shared" si="7"/>
        <v>4807</v>
      </c>
    </row>
    <row r="63" spans="1:12">
      <c r="A63">
        <v>62</v>
      </c>
      <c r="B63">
        <v>4</v>
      </c>
      <c r="C63">
        <v>2025</v>
      </c>
      <c r="D63" t="s">
        <v>34</v>
      </c>
      <c r="E63" t="s">
        <v>43</v>
      </c>
      <c r="F63" t="s">
        <v>3</v>
      </c>
      <c r="G63">
        <v>5</v>
      </c>
      <c r="H63">
        <v>35</v>
      </c>
      <c r="I63">
        <f t="shared" si="4"/>
        <v>175</v>
      </c>
      <c r="J63">
        <f t="shared" si="5"/>
        <v>183.75</v>
      </c>
      <c r="K63">
        <f t="shared" si="6"/>
        <v>192.5</v>
      </c>
      <c r="L63">
        <f t="shared" si="7"/>
        <v>201.25</v>
      </c>
    </row>
    <row r="64" spans="1:12">
      <c r="A64">
        <v>63</v>
      </c>
      <c r="B64">
        <v>4</v>
      </c>
      <c r="C64">
        <v>2025</v>
      </c>
      <c r="D64" t="s">
        <v>34</v>
      </c>
      <c r="E64" t="s">
        <v>31</v>
      </c>
      <c r="F64" t="s">
        <v>2</v>
      </c>
      <c r="G64">
        <v>3</v>
      </c>
      <c r="H64">
        <v>55</v>
      </c>
      <c r="I64">
        <f t="shared" si="4"/>
        <v>165</v>
      </c>
      <c r="J64">
        <f t="shared" si="5"/>
        <v>173.25</v>
      </c>
      <c r="K64">
        <f t="shared" si="6"/>
        <v>181.5</v>
      </c>
      <c r="L64">
        <f t="shared" si="7"/>
        <v>189.75</v>
      </c>
    </row>
    <row r="65" spans="1:12">
      <c r="A65">
        <v>64</v>
      </c>
      <c r="B65">
        <v>4</v>
      </c>
      <c r="C65">
        <v>2025</v>
      </c>
      <c r="D65" t="s">
        <v>33</v>
      </c>
      <c r="E65" t="s">
        <v>38</v>
      </c>
      <c r="F65" t="s">
        <v>41</v>
      </c>
      <c r="G65">
        <v>13</v>
      </c>
      <c r="H65">
        <v>20</v>
      </c>
      <c r="I65">
        <f t="shared" si="4"/>
        <v>260</v>
      </c>
      <c r="J65">
        <f t="shared" si="5"/>
        <v>273</v>
      </c>
      <c r="K65">
        <f t="shared" si="6"/>
        <v>286</v>
      </c>
      <c r="L65">
        <f t="shared" si="7"/>
        <v>299</v>
      </c>
    </row>
    <row r="66" spans="1:12">
      <c r="A66">
        <v>65</v>
      </c>
      <c r="B66">
        <v>4</v>
      </c>
      <c r="C66">
        <v>2025</v>
      </c>
      <c r="D66" t="s">
        <v>30</v>
      </c>
      <c r="E66" t="s">
        <v>29</v>
      </c>
      <c r="F66" t="s">
        <v>5</v>
      </c>
      <c r="G66">
        <v>4</v>
      </c>
      <c r="H66">
        <v>220</v>
      </c>
      <c r="I66">
        <f t="shared" si="4"/>
        <v>880</v>
      </c>
      <c r="J66">
        <f t="shared" si="5"/>
        <v>924</v>
      </c>
      <c r="K66">
        <f t="shared" si="6"/>
        <v>968</v>
      </c>
      <c r="L66">
        <f t="shared" si="7"/>
        <v>1012</v>
      </c>
    </row>
    <row r="67" spans="1:12">
      <c r="A67">
        <v>66</v>
      </c>
      <c r="B67">
        <v>4</v>
      </c>
      <c r="C67">
        <v>2025</v>
      </c>
      <c r="D67" t="s">
        <v>34</v>
      </c>
      <c r="E67" t="s">
        <v>31</v>
      </c>
      <c r="F67" t="s">
        <v>2</v>
      </c>
      <c r="G67">
        <v>6</v>
      </c>
      <c r="H67">
        <v>55</v>
      </c>
      <c r="I67">
        <f t="shared" ref="I67:I101" si="8">G67*H67</f>
        <v>330</v>
      </c>
      <c r="J67">
        <f t="shared" ref="J67:J101" si="9">I67*1.05</f>
        <v>346.5</v>
      </c>
      <c r="K67">
        <f t="shared" ref="K67:K101" si="10">I67*1.1</f>
        <v>363</v>
      </c>
      <c r="L67">
        <f t="shared" ref="L67:L101" si="11">I67*1.15</f>
        <v>379.5</v>
      </c>
    </row>
    <row r="68" spans="1:12">
      <c r="A68">
        <v>67</v>
      </c>
      <c r="B68">
        <v>4</v>
      </c>
      <c r="C68">
        <v>2025</v>
      </c>
      <c r="D68" t="s">
        <v>34</v>
      </c>
      <c r="E68" t="s">
        <v>25</v>
      </c>
      <c r="F68" t="s">
        <v>8</v>
      </c>
      <c r="G68">
        <v>19</v>
      </c>
      <c r="H68">
        <v>15</v>
      </c>
      <c r="I68">
        <f t="shared" si="8"/>
        <v>285</v>
      </c>
      <c r="J68">
        <f t="shared" si="9"/>
        <v>299.25</v>
      </c>
      <c r="K68">
        <f t="shared" si="10"/>
        <v>313.5</v>
      </c>
      <c r="L68">
        <f t="shared" si="11"/>
        <v>327.75</v>
      </c>
    </row>
    <row r="69" spans="1:12">
      <c r="A69">
        <v>68</v>
      </c>
      <c r="B69">
        <v>4</v>
      </c>
      <c r="C69">
        <v>2025</v>
      </c>
      <c r="D69" t="s">
        <v>34</v>
      </c>
      <c r="E69" t="s">
        <v>32</v>
      </c>
      <c r="F69" t="s">
        <v>2</v>
      </c>
      <c r="G69">
        <v>2</v>
      </c>
      <c r="H69">
        <v>55</v>
      </c>
      <c r="I69">
        <f t="shared" si="8"/>
        <v>110</v>
      </c>
      <c r="J69">
        <f t="shared" si="9"/>
        <v>115.5</v>
      </c>
      <c r="K69">
        <f t="shared" si="10"/>
        <v>121</v>
      </c>
      <c r="L69">
        <f t="shared" si="11"/>
        <v>126.5</v>
      </c>
    </row>
    <row r="70" spans="1:12">
      <c r="A70">
        <v>69</v>
      </c>
      <c r="B70">
        <v>4</v>
      </c>
      <c r="C70">
        <v>2025</v>
      </c>
      <c r="D70" t="s">
        <v>39</v>
      </c>
      <c r="E70" t="s">
        <v>25</v>
      </c>
      <c r="F70" t="s">
        <v>5</v>
      </c>
      <c r="G70">
        <v>6</v>
      </c>
      <c r="H70">
        <v>220</v>
      </c>
      <c r="I70">
        <f t="shared" si="8"/>
        <v>1320</v>
      </c>
      <c r="J70">
        <f t="shared" si="9"/>
        <v>1386</v>
      </c>
      <c r="K70">
        <f t="shared" si="10"/>
        <v>1452</v>
      </c>
      <c r="L70">
        <f t="shared" si="11"/>
        <v>1518</v>
      </c>
    </row>
    <row r="71" spans="1:12">
      <c r="A71">
        <v>70</v>
      </c>
      <c r="B71">
        <v>4</v>
      </c>
      <c r="C71">
        <v>2025</v>
      </c>
      <c r="D71" t="s">
        <v>39</v>
      </c>
      <c r="E71" t="s">
        <v>31</v>
      </c>
      <c r="F71" t="s">
        <v>3</v>
      </c>
      <c r="G71">
        <v>18</v>
      </c>
      <c r="H71">
        <v>35</v>
      </c>
      <c r="I71">
        <f t="shared" si="8"/>
        <v>630</v>
      </c>
      <c r="J71">
        <f t="shared" si="9"/>
        <v>661.5</v>
      </c>
      <c r="K71">
        <f t="shared" si="10"/>
        <v>693</v>
      </c>
      <c r="L71">
        <f t="shared" si="11"/>
        <v>724.5</v>
      </c>
    </row>
    <row r="72" spans="1:12">
      <c r="A72">
        <v>71</v>
      </c>
      <c r="B72">
        <v>4</v>
      </c>
      <c r="C72">
        <v>2025</v>
      </c>
      <c r="D72" t="s">
        <v>28</v>
      </c>
      <c r="E72" t="s">
        <v>43</v>
      </c>
      <c r="F72" t="s">
        <v>9</v>
      </c>
      <c r="G72">
        <v>19</v>
      </c>
      <c r="H72">
        <v>75</v>
      </c>
      <c r="I72">
        <f t="shared" si="8"/>
        <v>1425</v>
      </c>
      <c r="J72">
        <f t="shared" si="9"/>
        <v>1496.25</v>
      </c>
      <c r="K72">
        <f t="shared" si="10"/>
        <v>1567.5</v>
      </c>
      <c r="L72">
        <f t="shared" si="11"/>
        <v>1638.75</v>
      </c>
    </row>
    <row r="73" spans="1:12">
      <c r="A73">
        <v>72</v>
      </c>
      <c r="B73">
        <v>5</v>
      </c>
      <c r="C73">
        <v>2025</v>
      </c>
      <c r="D73" t="s">
        <v>34</v>
      </c>
      <c r="E73" t="s">
        <v>25</v>
      </c>
      <c r="F73" t="s">
        <v>4</v>
      </c>
      <c r="G73">
        <v>3</v>
      </c>
      <c r="H73">
        <v>850</v>
      </c>
      <c r="I73">
        <f t="shared" si="8"/>
        <v>2550</v>
      </c>
      <c r="J73">
        <f t="shared" si="9"/>
        <v>2677.5</v>
      </c>
      <c r="K73">
        <f t="shared" si="10"/>
        <v>2805</v>
      </c>
      <c r="L73">
        <f t="shared" si="11"/>
        <v>2932.5</v>
      </c>
    </row>
    <row r="74" spans="1:12">
      <c r="A74">
        <v>73</v>
      </c>
      <c r="B74">
        <v>5</v>
      </c>
      <c r="C74">
        <v>2025</v>
      </c>
      <c r="D74" t="s">
        <v>34</v>
      </c>
      <c r="E74" t="s">
        <v>23</v>
      </c>
      <c r="F74" t="s">
        <v>8</v>
      </c>
      <c r="G74">
        <v>16</v>
      </c>
      <c r="H74">
        <v>15</v>
      </c>
      <c r="I74">
        <f t="shared" si="8"/>
        <v>240</v>
      </c>
      <c r="J74">
        <f t="shared" si="9"/>
        <v>252</v>
      </c>
      <c r="K74">
        <f t="shared" si="10"/>
        <v>264</v>
      </c>
      <c r="L74">
        <f t="shared" si="11"/>
        <v>276</v>
      </c>
    </row>
    <row r="75" spans="1:12">
      <c r="A75">
        <v>74</v>
      </c>
      <c r="B75">
        <v>5</v>
      </c>
      <c r="C75">
        <v>2025</v>
      </c>
      <c r="D75" t="s">
        <v>39</v>
      </c>
      <c r="E75" t="s">
        <v>40</v>
      </c>
      <c r="F75" t="s">
        <v>26</v>
      </c>
      <c r="G75">
        <v>7</v>
      </c>
      <c r="H75">
        <v>180</v>
      </c>
      <c r="I75">
        <f t="shared" si="8"/>
        <v>1260</v>
      </c>
      <c r="J75">
        <f t="shared" si="9"/>
        <v>1323</v>
      </c>
      <c r="K75">
        <f t="shared" si="10"/>
        <v>1386</v>
      </c>
      <c r="L75">
        <f t="shared" si="11"/>
        <v>1449</v>
      </c>
    </row>
    <row r="76" spans="1:12">
      <c r="A76">
        <v>75</v>
      </c>
      <c r="B76">
        <v>5</v>
      </c>
      <c r="C76">
        <v>2025</v>
      </c>
      <c r="D76" t="s">
        <v>28</v>
      </c>
      <c r="E76" t="s">
        <v>32</v>
      </c>
      <c r="F76" t="s">
        <v>5</v>
      </c>
      <c r="G76">
        <v>12</v>
      </c>
      <c r="H76">
        <v>220</v>
      </c>
      <c r="I76">
        <f t="shared" si="8"/>
        <v>2640</v>
      </c>
      <c r="J76">
        <f t="shared" si="9"/>
        <v>2772</v>
      </c>
      <c r="K76">
        <f t="shared" si="10"/>
        <v>2904</v>
      </c>
      <c r="L76">
        <f t="shared" si="11"/>
        <v>3036</v>
      </c>
    </row>
    <row r="77" spans="1:12">
      <c r="A77">
        <v>76</v>
      </c>
      <c r="B77">
        <v>5</v>
      </c>
      <c r="C77">
        <v>2025</v>
      </c>
      <c r="D77" t="s">
        <v>42</v>
      </c>
      <c r="E77" t="s">
        <v>43</v>
      </c>
      <c r="F77" t="s">
        <v>5</v>
      </c>
      <c r="G77">
        <v>18</v>
      </c>
      <c r="H77">
        <v>220</v>
      </c>
      <c r="I77">
        <f t="shared" si="8"/>
        <v>3960</v>
      </c>
      <c r="J77">
        <f t="shared" si="9"/>
        <v>4158</v>
      </c>
      <c r="K77">
        <f t="shared" si="10"/>
        <v>4356</v>
      </c>
      <c r="L77">
        <f t="shared" si="11"/>
        <v>4554</v>
      </c>
    </row>
    <row r="78" spans="1:12">
      <c r="A78">
        <v>77</v>
      </c>
      <c r="B78">
        <v>5</v>
      </c>
      <c r="C78">
        <v>2025</v>
      </c>
      <c r="D78" t="s">
        <v>22</v>
      </c>
      <c r="E78" t="s">
        <v>23</v>
      </c>
      <c r="F78" t="s">
        <v>9</v>
      </c>
      <c r="G78">
        <v>2</v>
      </c>
      <c r="H78">
        <v>75</v>
      </c>
      <c r="I78">
        <f t="shared" si="8"/>
        <v>150</v>
      </c>
      <c r="J78">
        <f t="shared" si="9"/>
        <v>157.5</v>
      </c>
      <c r="K78">
        <f t="shared" si="10"/>
        <v>165</v>
      </c>
      <c r="L78">
        <f t="shared" si="11"/>
        <v>172.5</v>
      </c>
    </row>
    <row r="79" spans="1:12">
      <c r="A79">
        <v>78</v>
      </c>
      <c r="B79">
        <v>5</v>
      </c>
      <c r="C79">
        <v>2025</v>
      </c>
      <c r="D79" t="s">
        <v>28</v>
      </c>
      <c r="E79" t="s">
        <v>37</v>
      </c>
      <c r="F79" t="s">
        <v>2</v>
      </c>
      <c r="G79">
        <v>13</v>
      </c>
      <c r="H79">
        <v>55</v>
      </c>
      <c r="I79">
        <f t="shared" si="8"/>
        <v>715</v>
      </c>
      <c r="J79">
        <f t="shared" si="9"/>
        <v>750.75</v>
      </c>
      <c r="K79">
        <f t="shared" si="10"/>
        <v>786.5</v>
      </c>
      <c r="L79">
        <f t="shared" si="11"/>
        <v>822.25</v>
      </c>
    </row>
    <row r="80" spans="1:12">
      <c r="A80">
        <v>79</v>
      </c>
      <c r="B80">
        <v>5</v>
      </c>
      <c r="C80">
        <v>2025</v>
      </c>
      <c r="D80" t="s">
        <v>35</v>
      </c>
      <c r="E80" t="s">
        <v>23</v>
      </c>
      <c r="F80" t="s">
        <v>3</v>
      </c>
      <c r="G80">
        <v>17</v>
      </c>
      <c r="H80">
        <v>35</v>
      </c>
      <c r="I80">
        <f t="shared" si="8"/>
        <v>595</v>
      </c>
      <c r="J80">
        <f t="shared" si="9"/>
        <v>624.75</v>
      </c>
      <c r="K80">
        <f t="shared" si="10"/>
        <v>654.5</v>
      </c>
      <c r="L80">
        <f t="shared" si="11"/>
        <v>684.25</v>
      </c>
    </row>
    <row r="81" spans="1:12">
      <c r="A81">
        <v>80</v>
      </c>
      <c r="B81">
        <v>8</v>
      </c>
      <c r="C81">
        <v>2025</v>
      </c>
      <c r="D81" t="s">
        <v>30</v>
      </c>
      <c r="E81" t="s">
        <v>40</v>
      </c>
      <c r="F81" t="s">
        <v>6</v>
      </c>
      <c r="G81">
        <v>11</v>
      </c>
      <c r="H81">
        <v>500</v>
      </c>
      <c r="I81">
        <f t="shared" si="8"/>
        <v>5500</v>
      </c>
      <c r="J81">
        <f t="shared" si="9"/>
        <v>5775</v>
      </c>
      <c r="K81">
        <f t="shared" si="10"/>
        <v>6050</v>
      </c>
      <c r="L81">
        <f t="shared" si="11"/>
        <v>6325</v>
      </c>
    </row>
    <row r="82" spans="1:12">
      <c r="A82">
        <v>81</v>
      </c>
      <c r="B82">
        <v>7</v>
      </c>
      <c r="C82">
        <v>2025</v>
      </c>
      <c r="D82" t="s">
        <v>39</v>
      </c>
      <c r="E82" t="s">
        <v>25</v>
      </c>
      <c r="F82" t="s">
        <v>4</v>
      </c>
      <c r="G82">
        <v>17</v>
      </c>
      <c r="H82">
        <v>850</v>
      </c>
      <c r="I82">
        <f t="shared" si="8"/>
        <v>14450</v>
      </c>
      <c r="J82">
        <f t="shared" si="9"/>
        <v>15172.5</v>
      </c>
      <c r="K82">
        <f t="shared" si="10"/>
        <v>15895</v>
      </c>
      <c r="L82">
        <f t="shared" si="11"/>
        <v>16617.5</v>
      </c>
    </row>
    <row r="83" spans="1:12">
      <c r="A83">
        <v>82</v>
      </c>
      <c r="B83">
        <v>7</v>
      </c>
      <c r="C83">
        <v>2025</v>
      </c>
      <c r="D83" t="s">
        <v>24</v>
      </c>
      <c r="E83" t="s">
        <v>23</v>
      </c>
      <c r="F83" t="s">
        <v>5</v>
      </c>
      <c r="G83">
        <v>18</v>
      </c>
      <c r="H83">
        <v>220</v>
      </c>
      <c r="I83">
        <f t="shared" si="8"/>
        <v>3960</v>
      </c>
      <c r="J83">
        <f t="shared" si="9"/>
        <v>4158</v>
      </c>
      <c r="K83">
        <f t="shared" si="10"/>
        <v>4356</v>
      </c>
      <c r="L83">
        <f t="shared" si="11"/>
        <v>4554</v>
      </c>
    </row>
    <row r="84" spans="1:12">
      <c r="A84">
        <v>83</v>
      </c>
      <c r="B84">
        <v>7</v>
      </c>
      <c r="C84">
        <v>2025</v>
      </c>
      <c r="D84" t="s">
        <v>33</v>
      </c>
      <c r="E84" t="s">
        <v>40</v>
      </c>
      <c r="F84" t="s">
        <v>7</v>
      </c>
      <c r="G84">
        <v>1</v>
      </c>
      <c r="H84">
        <v>320</v>
      </c>
      <c r="I84">
        <f t="shared" si="8"/>
        <v>320</v>
      </c>
      <c r="J84">
        <f t="shared" si="9"/>
        <v>336</v>
      </c>
      <c r="K84">
        <f t="shared" si="10"/>
        <v>352</v>
      </c>
      <c r="L84">
        <f t="shared" si="11"/>
        <v>368</v>
      </c>
    </row>
    <row r="85" spans="1:12">
      <c r="A85">
        <v>84</v>
      </c>
      <c r="B85">
        <v>8</v>
      </c>
      <c r="C85">
        <v>2025</v>
      </c>
      <c r="D85" t="s">
        <v>30</v>
      </c>
      <c r="E85" t="s">
        <v>38</v>
      </c>
      <c r="F85" t="s">
        <v>4</v>
      </c>
      <c r="G85">
        <v>14</v>
      </c>
      <c r="H85">
        <v>850</v>
      </c>
      <c r="I85">
        <f t="shared" si="8"/>
        <v>11900</v>
      </c>
      <c r="J85">
        <f t="shared" si="9"/>
        <v>12495</v>
      </c>
      <c r="K85">
        <f t="shared" si="10"/>
        <v>13090</v>
      </c>
      <c r="L85">
        <f t="shared" si="11"/>
        <v>13685</v>
      </c>
    </row>
    <row r="86" spans="1:12">
      <c r="A86">
        <v>85</v>
      </c>
      <c r="B86">
        <v>7</v>
      </c>
      <c r="C86">
        <v>2025</v>
      </c>
      <c r="D86" t="s">
        <v>34</v>
      </c>
      <c r="E86" t="s">
        <v>38</v>
      </c>
      <c r="F86" t="s">
        <v>26</v>
      </c>
      <c r="G86">
        <v>14</v>
      </c>
      <c r="H86">
        <v>180</v>
      </c>
      <c r="I86">
        <f t="shared" si="8"/>
        <v>2520</v>
      </c>
      <c r="J86">
        <f t="shared" si="9"/>
        <v>2646</v>
      </c>
      <c r="K86">
        <f t="shared" si="10"/>
        <v>2772</v>
      </c>
      <c r="L86">
        <f t="shared" si="11"/>
        <v>2898</v>
      </c>
    </row>
    <row r="87" spans="1:12">
      <c r="A87">
        <v>86</v>
      </c>
      <c r="B87">
        <v>6</v>
      </c>
      <c r="C87">
        <v>2025</v>
      </c>
      <c r="D87" t="s">
        <v>36</v>
      </c>
      <c r="E87" t="s">
        <v>43</v>
      </c>
      <c r="F87" t="s">
        <v>3</v>
      </c>
      <c r="G87">
        <v>10</v>
      </c>
      <c r="H87">
        <v>35</v>
      </c>
      <c r="I87">
        <f t="shared" si="8"/>
        <v>350</v>
      </c>
      <c r="J87">
        <f t="shared" si="9"/>
        <v>367.5</v>
      </c>
      <c r="K87">
        <f t="shared" si="10"/>
        <v>385</v>
      </c>
      <c r="L87">
        <f t="shared" si="11"/>
        <v>402.5</v>
      </c>
    </row>
    <row r="88" spans="1:12">
      <c r="A88">
        <v>87</v>
      </c>
      <c r="B88">
        <v>6</v>
      </c>
      <c r="C88">
        <v>2025</v>
      </c>
      <c r="D88" t="s">
        <v>28</v>
      </c>
      <c r="E88" t="s">
        <v>23</v>
      </c>
      <c r="F88" t="s">
        <v>7</v>
      </c>
      <c r="G88">
        <v>13</v>
      </c>
      <c r="H88">
        <v>320</v>
      </c>
      <c r="I88">
        <f t="shared" si="8"/>
        <v>4160</v>
      </c>
      <c r="J88">
        <f t="shared" si="9"/>
        <v>4368</v>
      </c>
      <c r="K88">
        <f t="shared" si="10"/>
        <v>4576</v>
      </c>
      <c r="L88">
        <f t="shared" si="11"/>
        <v>4784</v>
      </c>
    </row>
    <row r="89" spans="1:12">
      <c r="A89">
        <v>88</v>
      </c>
      <c r="B89">
        <v>8</v>
      </c>
      <c r="C89">
        <v>2025</v>
      </c>
      <c r="D89" t="s">
        <v>22</v>
      </c>
      <c r="E89" t="s">
        <v>25</v>
      </c>
      <c r="F89" t="s">
        <v>3</v>
      </c>
      <c r="G89">
        <v>19</v>
      </c>
      <c r="H89">
        <v>35</v>
      </c>
      <c r="I89">
        <f t="shared" si="8"/>
        <v>665</v>
      </c>
      <c r="J89">
        <f t="shared" si="9"/>
        <v>698.25</v>
      </c>
      <c r="K89">
        <f t="shared" si="10"/>
        <v>731.5</v>
      </c>
      <c r="L89">
        <f t="shared" si="11"/>
        <v>764.75</v>
      </c>
    </row>
    <row r="90" spans="1:12">
      <c r="A90">
        <v>89</v>
      </c>
      <c r="B90">
        <v>6</v>
      </c>
      <c r="C90">
        <v>2025</v>
      </c>
      <c r="D90" t="s">
        <v>39</v>
      </c>
      <c r="E90" t="s">
        <v>25</v>
      </c>
      <c r="F90" t="s">
        <v>5</v>
      </c>
      <c r="G90">
        <v>14</v>
      </c>
      <c r="H90">
        <v>220</v>
      </c>
      <c r="I90">
        <f t="shared" si="8"/>
        <v>3080</v>
      </c>
      <c r="J90">
        <f t="shared" si="9"/>
        <v>3234</v>
      </c>
      <c r="K90">
        <f t="shared" si="10"/>
        <v>3388</v>
      </c>
      <c r="L90">
        <f t="shared" si="11"/>
        <v>3542</v>
      </c>
    </row>
    <row r="91" spans="1:12">
      <c r="A91">
        <v>90</v>
      </c>
      <c r="B91">
        <v>3</v>
      </c>
      <c r="C91">
        <v>2025</v>
      </c>
      <c r="D91" t="s">
        <v>33</v>
      </c>
      <c r="E91" t="s">
        <v>29</v>
      </c>
      <c r="F91" t="s">
        <v>6</v>
      </c>
      <c r="G91">
        <v>9</v>
      </c>
      <c r="H91">
        <v>500</v>
      </c>
      <c r="I91">
        <f t="shared" si="8"/>
        <v>4500</v>
      </c>
      <c r="J91">
        <f t="shared" si="9"/>
        <v>4725</v>
      </c>
      <c r="K91">
        <f t="shared" si="10"/>
        <v>4950</v>
      </c>
      <c r="L91">
        <f t="shared" si="11"/>
        <v>5175</v>
      </c>
    </row>
    <row r="92" spans="1:12">
      <c r="A92">
        <v>91</v>
      </c>
      <c r="B92">
        <v>3</v>
      </c>
      <c r="C92">
        <v>2025</v>
      </c>
      <c r="D92" t="s">
        <v>39</v>
      </c>
      <c r="E92" t="s">
        <v>40</v>
      </c>
      <c r="F92" t="s">
        <v>26</v>
      </c>
      <c r="G92">
        <v>8</v>
      </c>
      <c r="H92">
        <v>180</v>
      </c>
      <c r="I92">
        <f t="shared" si="8"/>
        <v>1440</v>
      </c>
      <c r="J92">
        <f t="shared" si="9"/>
        <v>1512</v>
      </c>
      <c r="K92">
        <f t="shared" si="10"/>
        <v>1584</v>
      </c>
      <c r="L92">
        <f t="shared" si="11"/>
        <v>1656</v>
      </c>
    </row>
    <row r="93" spans="1:12">
      <c r="A93">
        <v>92</v>
      </c>
      <c r="B93">
        <v>3</v>
      </c>
      <c r="C93">
        <v>2025</v>
      </c>
      <c r="D93" t="s">
        <v>34</v>
      </c>
      <c r="E93" t="s">
        <v>37</v>
      </c>
      <c r="F93" t="s">
        <v>3</v>
      </c>
      <c r="G93">
        <v>18</v>
      </c>
      <c r="H93">
        <v>35</v>
      </c>
      <c r="I93">
        <f t="shared" si="8"/>
        <v>630</v>
      </c>
      <c r="J93">
        <f t="shared" si="9"/>
        <v>661.5</v>
      </c>
      <c r="K93">
        <f t="shared" si="10"/>
        <v>693</v>
      </c>
      <c r="L93">
        <f t="shared" si="11"/>
        <v>724.5</v>
      </c>
    </row>
    <row r="94" spans="1:12">
      <c r="A94">
        <v>93</v>
      </c>
      <c r="B94">
        <v>3</v>
      </c>
      <c r="C94">
        <v>2025</v>
      </c>
      <c r="D94" t="s">
        <v>36</v>
      </c>
      <c r="E94" t="s">
        <v>27</v>
      </c>
      <c r="F94" t="s">
        <v>41</v>
      </c>
      <c r="G94">
        <v>5</v>
      </c>
      <c r="H94">
        <v>20</v>
      </c>
      <c r="I94">
        <f t="shared" si="8"/>
        <v>100</v>
      </c>
      <c r="J94">
        <f t="shared" si="9"/>
        <v>105</v>
      </c>
      <c r="K94">
        <f t="shared" si="10"/>
        <v>110</v>
      </c>
      <c r="L94">
        <f t="shared" si="11"/>
        <v>115</v>
      </c>
    </row>
    <row r="95" spans="1:12">
      <c r="A95">
        <v>94</v>
      </c>
      <c r="B95">
        <v>3</v>
      </c>
      <c r="C95">
        <v>2025</v>
      </c>
      <c r="D95" t="s">
        <v>30</v>
      </c>
      <c r="E95" t="s">
        <v>43</v>
      </c>
      <c r="F95" t="s">
        <v>6</v>
      </c>
      <c r="G95">
        <v>20</v>
      </c>
      <c r="H95">
        <v>500</v>
      </c>
      <c r="I95">
        <f t="shared" si="8"/>
        <v>10000</v>
      </c>
      <c r="J95">
        <f t="shared" si="9"/>
        <v>10500</v>
      </c>
      <c r="K95">
        <f t="shared" si="10"/>
        <v>11000</v>
      </c>
      <c r="L95">
        <f t="shared" si="11"/>
        <v>11500</v>
      </c>
    </row>
    <row r="96" spans="1:12">
      <c r="A96">
        <v>95</v>
      </c>
      <c r="B96">
        <v>7</v>
      </c>
      <c r="C96">
        <v>2025</v>
      </c>
      <c r="D96" t="s">
        <v>42</v>
      </c>
      <c r="E96" t="s">
        <v>37</v>
      </c>
      <c r="F96" t="s">
        <v>8</v>
      </c>
      <c r="G96">
        <v>1</v>
      </c>
      <c r="H96">
        <v>15</v>
      </c>
      <c r="I96">
        <f t="shared" si="8"/>
        <v>15</v>
      </c>
      <c r="J96">
        <f t="shared" si="9"/>
        <v>15.75</v>
      </c>
      <c r="K96">
        <f t="shared" si="10"/>
        <v>16.5</v>
      </c>
      <c r="L96">
        <f t="shared" si="11"/>
        <v>17.25</v>
      </c>
    </row>
    <row r="97" spans="1:12">
      <c r="A97">
        <v>96</v>
      </c>
      <c r="B97">
        <v>7</v>
      </c>
      <c r="C97">
        <v>2025</v>
      </c>
      <c r="D97" t="s">
        <v>33</v>
      </c>
      <c r="E97" t="s">
        <v>31</v>
      </c>
      <c r="F97" t="s">
        <v>7</v>
      </c>
      <c r="G97">
        <v>2</v>
      </c>
      <c r="H97">
        <v>320</v>
      </c>
      <c r="I97">
        <f t="shared" si="8"/>
        <v>640</v>
      </c>
      <c r="J97">
        <f t="shared" si="9"/>
        <v>672</v>
      </c>
      <c r="K97">
        <f t="shared" si="10"/>
        <v>704</v>
      </c>
      <c r="L97">
        <f t="shared" si="11"/>
        <v>736</v>
      </c>
    </row>
    <row r="98" spans="1:12">
      <c r="A98">
        <v>97</v>
      </c>
      <c r="B98">
        <v>7</v>
      </c>
      <c r="C98">
        <v>2025</v>
      </c>
      <c r="D98" t="s">
        <v>35</v>
      </c>
      <c r="E98" t="s">
        <v>32</v>
      </c>
      <c r="F98" t="s">
        <v>4</v>
      </c>
      <c r="G98">
        <v>5</v>
      </c>
      <c r="H98">
        <v>850</v>
      </c>
      <c r="I98">
        <f t="shared" si="8"/>
        <v>4250</v>
      </c>
      <c r="J98">
        <f t="shared" si="9"/>
        <v>4462.5</v>
      </c>
      <c r="K98">
        <f t="shared" si="10"/>
        <v>4675</v>
      </c>
      <c r="L98">
        <f t="shared" si="11"/>
        <v>4887.5</v>
      </c>
    </row>
    <row r="99" spans="1:12">
      <c r="A99">
        <v>98</v>
      </c>
      <c r="B99">
        <v>8</v>
      </c>
      <c r="C99">
        <v>2025</v>
      </c>
      <c r="D99" t="s">
        <v>22</v>
      </c>
      <c r="E99" t="s">
        <v>23</v>
      </c>
      <c r="F99" t="s">
        <v>2</v>
      </c>
      <c r="G99">
        <v>11</v>
      </c>
      <c r="H99">
        <v>55</v>
      </c>
      <c r="I99">
        <f t="shared" si="8"/>
        <v>605</v>
      </c>
      <c r="J99">
        <f t="shared" si="9"/>
        <v>635.25</v>
      </c>
      <c r="K99">
        <f t="shared" si="10"/>
        <v>665.5</v>
      </c>
      <c r="L99">
        <f t="shared" si="11"/>
        <v>695.75</v>
      </c>
    </row>
    <row r="100" spans="1:12">
      <c r="A100">
        <v>99</v>
      </c>
      <c r="B100">
        <v>10</v>
      </c>
      <c r="C100">
        <v>2025</v>
      </c>
      <c r="D100" t="s">
        <v>33</v>
      </c>
      <c r="E100" t="s">
        <v>31</v>
      </c>
      <c r="F100" t="s">
        <v>4</v>
      </c>
      <c r="G100">
        <v>15</v>
      </c>
      <c r="H100">
        <v>850</v>
      </c>
      <c r="I100">
        <f t="shared" si="8"/>
        <v>12750</v>
      </c>
      <c r="J100">
        <f t="shared" si="9"/>
        <v>13387.5</v>
      </c>
      <c r="K100">
        <f t="shared" si="10"/>
        <v>14025</v>
      </c>
      <c r="L100">
        <f t="shared" si="11"/>
        <v>14662.5</v>
      </c>
    </row>
    <row r="101" spans="1:12">
      <c r="A101">
        <v>100</v>
      </c>
      <c r="B101">
        <v>8</v>
      </c>
      <c r="C101">
        <v>2025</v>
      </c>
      <c r="D101" t="s">
        <v>36</v>
      </c>
      <c r="E101" t="s">
        <v>23</v>
      </c>
      <c r="F101" t="s">
        <v>4</v>
      </c>
      <c r="G101">
        <v>13</v>
      </c>
      <c r="H101">
        <v>850</v>
      </c>
      <c r="I101">
        <f t="shared" si="8"/>
        <v>11050</v>
      </c>
      <c r="J101">
        <f t="shared" si="9"/>
        <v>11602.5</v>
      </c>
      <c r="K101">
        <f t="shared" si="10"/>
        <v>12155</v>
      </c>
      <c r="L101">
        <f t="shared" si="11"/>
        <v>12707.5</v>
      </c>
    </row>
    <row r="102" spans="1:12">
      <c r="B102" s="2"/>
      <c r="C102" s="2"/>
    </row>
  </sheetData>
  <dataValidations count="2">
    <dataValidation type="list" allowBlank="1" showInputMessage="1" showErrorMessage="1" sqref="D$1:D$1048576">
      <formula1>"Karachi,Lahore,Islamabad,Peshawar,Quetta,Multa+Faisalabad,Rawalpindi,Hyderabad,Sialkot,Mardan"</formula1>
    </dataValidation>
    <dataValidation type="whole" operator="between" allowBlank="1" showInputMessage="1" showErrorMessage="1" sqref="G$1:G$1048576">
      <formula1>1</formula1>
      <formula2>25</formula2>
    </dataValidation>
  </dataValidations>
  <pageMargins left="0.75" right="0.75" top="1" bottom="1" header="0.5" footer="0.5"/>
  <headerFooter/>
  <ignoredErrors>
    <ignoredError sqref="D1:D101 D103:D1048576 G1:G101 G103:G1048576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Hamza Shaukat</cp:lastModifiedBy>
  <dcterms:created xsi:type="dcterms:W3CDTF">2026-07-27T05:40:00Z</dcterms:created>
  <dcterms:modified xsi:type="dcterms:W3CDTF">2026-08-12T05:22:40Z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BECEA872C57049FBAA72F15BFB730DE4_13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